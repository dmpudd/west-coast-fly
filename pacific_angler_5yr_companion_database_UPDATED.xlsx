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pecies_System_Summary" sheetId="2" state="visible" r:id="rId2"/>
    <sheet xmlns:r="http://schemas.openxmlformats.org/officeDocument/2006/relationships" name="Seasonal_Calendar" sheetId="3" state="visible" r:id="rId3"/>
    <sheet xmlns:r="http://schemas.openxmlformats.org/officeDocument/2006/relationships" name="Source_Index" sheetId="4" state="visible" r:id="rId4"/>
    <sheet xmlns:r="http://schemas.openxmlformats.org/officeDocument/2006/relationships" name="Ocean_View" sheetId="5" state="visible" r:id="rId5"/>
    <sheet xmlns:r="http://schemas.openxmlformats.org/officeDocument/2006/relationships" name="River_View" sheetId="6" state="visible" r:id="rId6"/>
    <sheet xmlns:r="http://schemas.openxmlformats.org/officeDocument/2006/relationships" name="Lake_View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666666"/>
    </font>
    <font>
      <color rgb="000000FF"/>
    </font>
    <font>
      <color rgb="00000000"/>
    </font>
    <font>
      <b val="1"/>
      <color rgb="00FFFFFF"/>
    </font>
    <font>
      <b val="1"/>
      <color rgb="00000000"/>
    </font>
    <font>
      <name val="Calibri"/>
      <family val="2"/>
      <color theme="10"/>
      <sz val="12"/>
      <scheme val="minor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D9F0EE"/>
      </patternFill>
    </fill>
    <fill>
      <patternFill patternType="solid">
        <fgColor rgb="00FDF2D0"/>
      </patternFill>
    </fill>
    <fill>
      <patternFill patternType="solid">
        <fgColor rgb="000F766E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7A5D1B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D0D7DE"/>
      </bottom>
    </border>
  </borders>
  <cellStyleXfs count="2">
    <xf numFmtId="0" fontId="0" fillId="0" borderId="0"/>
    <xf numFmtId="0" fontId="8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top" wrapText="1"/>
    </xf>
    <xf numFmtId="0" fontId="8" fillId="0" borderId="2" applyAlignment="1" pivotButton="0" quotePrefix="0" xfId="1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M2" authorId="0" shapeId="0">
      <text>
        <t>Pipe-delimited source URLs. Full clickable source inventory is on the Source_Index sheet.</t>
      </text>
    </comment>
    <comment ref="M3" authorId="0" shapeId="0">
      <text>
        <t>Pipe-delimited source URLs. Full clickable source inventory is on the Source_Index sheet.</t>
      </text>
    </comment>
    <comment ref="M4" authorId="0" shapeId="0">
      <text>
        <t>Pipe-delimited source URLs. Full clickable source inventory is on the Source_Index sheet.</t>
      </text>
    </comment>
    <comment ref="M5" authorId="0" shapeId="0">
      <text>
        <t>Pipe-delimited source URLs. Full clickable source inventory is on the Source_Index sheet.</t>
      </text>
    </comment>
    <comment ref="M6" authorId="0" shapeId="0">
      <text>
        <t>Pipe-delimited source URLs. Full clickable source inventory is on the Source_Index sheet.</t>
      </text>
    </comment>
    <comment ref="M7" authorId="0" shapeId="0">
      <text>
        <t>Pipe-delimited source URLs. Full clickable source inventory is on the Source_Index sheet.</t>
      </text>
    </comment>
    <comment ref="M8" authorId="0" shapeId="0">
      <text>
        <t>Pipe-delimited source URLs. Full clickable source inventory is on the Source_Index sheet.</t>
      </text>
    </comment>
    <comment ref="M9" authorId="0" shapeId="0">
      <text>
        <t>Pipe-delimited source URLs. Full clickable source inventory is on the Source_Index sheet.</t>
      </text>
    </comment>
    <comment ref="M10" authorId="0" shapeId="0">
      <text>
        <t>Pipe-delimited source URLs. Full clickable source inventory is on the Source_Index sheet.</t>
      </text>
    </comment>
    <comment ref="M11" authorId="0" shapeId="0">
      <text>
        <t>Pipe-delimited source URLs. Full clickable source inventory is on the Source_Index sheet.</t>
      </text>
    </comment>
    <comment ref="M12" authorId="0" shapeId="0">
      <text>
        <t>Pipe-delimited source URLs. Full clickable source inventory is on the Source_Index sheet.</t>
      </text>
    </comment>
    <comment ref="M13" authorId="0" shapeId="0">
      <text>
        <t>Pipe-delimited source URLs. Full clickable source inventory is on the Source_Index sheet.</t>
      </text>
    </comment>
    <comment ref="M14" authorId="0" shapeId="0">
      <text>
        <t>Pipe-delimited source URLs. Full clickable source inventory is on the Source_Index sheet.</t>
      </text>
    </comment>
    <comment ref="M15" authorId="0" shapeId="0">
      <text>
        <t>Pipe-delimited source URLs. Full clickable source inventory is on the Source_Index sheet.</t>
      </text>
    </comment>
    <comment ref="M16" authorId="0" shapeId="0">
      <text>
        <t>Pipe-delimited source URLs. Full clickable source inventory is on the Source_Index sheet.</t>
      </text>
    </comment>
    <comment ref="M17" authorId="0" shapeId="0">
      <text>
        <t>Pipe-delimited source URLs. Full clickable source inventory is on the Source_Index sheet.</t>
      </text>
    </comment>
    <comment ref="M18" authorId="0" shapeId="0">
      <text>
        <t>Pipe-delimited source URLs. Full clickable source inventory is on the Source_Index sheet.</t>
      </text>
    </comment>
    <comment ref="M19" authorId="0" shapeId="0">
      <text>
        <t>Pipe-delimited source URLs. Full clickable source inventory is on the Source_Index sheet.</t>
      </text>
    </comment>
    <comment ref="M20" authorId="0" shapeId="0">
      <text>
        <t>Pipe-delimited source URLs. Full clickable source inventory is on the Source_Index sheet.</t>
      </text>
    </comment>
    <comment ref="M21" authorId="0" shapeId="0">
      <text>
        <t>Pipe-delimited source URLs. Full clickable source inventory is on the Source_Index sheet.</t>
      </text>
    </comment>
    <comment ref="M22" authorId="0" shapeId="0">
      <text>
        <t>Pipe-delimited source URLs. Full clickable source inventory is on the Source_Index sheet.</t>
      </text>
    </comment>
    <comment ref="M23" authorId="0" shapeId="0">
      <text>
        <t>Pipe-delimited source URLs. Full clickable source inventory is on the Source_Index sheet.</t>
      </text>
    </comment>
    <comment ref="M24" authorId="0" shapeId="0">
      <text>
        <t>Pipe-delimited source URLs. Full clickable source inventory is on the Source_Index sheet.</t>
      </text>
    </comment>
    <comment ref="M25" authorId="0" shapeId="0">
      <text>
        <t>Pipe-delimited source URLs. Full clickable source inventory is on the Source_Index sheet.</t>
      </text>
    </comment>
    <comment ref="M26" authorId="0" shapeId="0">
      <text>
        <t>Pipe-delimited source URLs. Full clickable source inventory is on the Source_Index sheet.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52" customWidth="1" min="2" max="2"/>
  </cols>
  <sheetData>
    <row r="1" ht="20" customHeight="1">
      <c r="A1" s="21" t="inlineStr">
        <is>
          <t>Pacific Angler Friday Fishing Reports — 5-Year Companion Workbook</t>
        </is>
      </c>
    </row>
    <row r="2" ht="20" customHeight="1">
      <c r="A2" s="2" t="inlineStr">
        <is>
          <t>Companion workbook for the 5-year summary document</t>
        </is>
      </c>
    </row>
    <row r="3" ht="20" customHeight="1"/>
    <row r="4" ht="20" customHeight="1">
      <c r="A4" s="3" t="inlineStr">
        <is>
          <t>Report date</t>
        </is>
      </c>
      <c r="B4" s="4" t="inlineStr">
        <is>
          <t>March 21, 2026</t>
        </is>
      </c>
    </row>
    <row r="5" ht="20" customHeight="1">
      <c r="A5" s="3" t="inlineStr">
        <is>
          <t>Archive scope</t>
        </is>
      </c>
      <c r="B5" s="4" t="inlineStr">
        <is>
          <t>Accessible archive reports spanning Jan 2021 to Mar 2026</t>
        </is>
      </c>
    </row>
    <row r="6" ht="20" customHeight="1">
      <c r="A6" s="3" t="inlineStr">
        <is>
          <t>Normalized summary rows</t>
        </is>
      </c>
      <c r="B6" s="5">
        <f>COUNTA('Species_System_Summary'!A:A)-1</f>
        <v/>
      </c>
    </row>
    <row r="7" ht="20" customHeight="1">
      <c r="A7" s="3" t="inlineStr">
        <is>
          <t>Source reports indexed</t>
        </is>
      </c>
      <c r="B7" s="5">
        <f>COUNTA('Source_Index'!A:A)-1</f>
        <v/>
      </c>
    </row>
    <row r="8" ht="20" customHeight="1">
      <c r="A8" s="3" t="inlineStr">
        <is>
          <t>Ocean rows</t>
        </is>
      </c>
      <c r="B8" s="5">
        <f>COUNTIF('Species_System_Summary'!B:B,"Ocean")</f>
        <v/>
      </c>
    </row>
    <row r="9" ht="20" customHeight="1">
      <c r="A9" s="3" t="inlineStr">
        <is>
          <t>River rows</t>
        </is>
      </c>
      <c r="B9" s="5">
        <f>COUNTIF('Species_System_Summary'!B:B,"River")</f>
        <v/>
      </c>
    </row>
    <row r="10" ht="20" customHeight="1">
      <c r="A10" s="3" t="inlineStr">
        <is>
          <t>Lake rows</t>
        </is>
      </c>
      <c r="B10" s="5">
        <f>COUNTIF('Species_System_Summary'!B:B,"Lake")</f>
        <v/>
      </c>
    </row>
    <row r="11" ht="20" customHeight="1"/>
    <row r="12" ht="20" customHeight="1">
      <c r="A12" s="21" t="inlineStr">
        <is>
          <t>How to use this workbook</t>
        </is>
      </c>
    </row>
    <row r="13" ht="36" customHeight="1">
      <c r="A13" s="22" t="inlineStr">
        <is>
          <t>1. Start with Species_System_Summary for the normalized planning view.</t>
        </is>
      </c>
    </row>
    <row r="14" ht="36" customHeight="1">
      <c r="A14" s="22" t="inlineStr">
        <is>
          <t>2. Use Seasonal_Calendar for month-by-month planning windows (P=primary, S=secondary).</t>
        </is>
      </c>
    </row>
    <row r="15" ht="36" customHeight="1">
      <c r="A15" s="22" t="inlineStr">
        <is>
          <t>3. Use Source_Index for the clickable report inventory. Full URLs are stored there.</t>
        </is>
      </c>
    </row>
    <row r="16" ht="36" customHeight="1">
      <c r="A16" s="22" t="inlineStr">
        <is>
          <t>4. This is a retrospective pattern tool, not a live regulations guide.</t>
        </is>
      </c>
    </row>
  </sheetData>
  <mergeCells count="2">
    <mergeCell ref="A1:B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24" customWidth="1" min="5" max="5"/>
    <col width="14" customWidth="1" min="6" max="6"/>
    <col width="16" customWidth="1" min="7" max="7"/>
    <col width="30" customWidth="1" min="8" max="8"/>
    <col width="42" customWidth="1" min="9" max="9"/>
    <col width="36" customWidth="1" min="10" max="10"/>
    <col width="34" customWidth="1" min="11" max="11"/>
    <col width="26" customWidth="1" min="12" max="12"/>
    <col width="48" customWidth="1" min="13" max="13"/>
  </cols>
  <sheetData>
    <row r="1">
      <c r="A1" s="7" t="inlineStr">
        <is>
          <t>ID</t>
        </is>
      </c>
      <c r="B1" s="7" t="inlineStr">
        <is>
          <t>Broad Category</t>
        </is>
      </c>
      <c r="C1" s="7" t="inlineStr">
        <is>
          <t>Sub Category</t>
        </is>
      </c>
      <c r="D1" s="7" t="inlineStr">
        <is>
          <t>System / Area</t>
        </is>
      </c>
      <c r="E1" s="7" t="inlineStr">
        <is>
          <t>Species</t>
        </is>
      </c>
      <c r="F1" s="7" t="inlineStr">
        <is>
          <t>Primary Months</t>
        </is>
      </c>
      <c r="G1" s="7" t="inlineStr">
        <is>
          <t>Secondary Months</t>
        </is>
      </c>
      <c r="H1" s="7" t="inlineStr">
        <is>
          <t>Timing Notes</t>
        </is>
      </c>
      <c r="I1" s="7" t="inlineStr">
        <is>
          <t>Gear Tactics</t>
        </is>
      </c>
      <c r="J1" s="7" t="inlineStr">
        <is>
          <t>Fly Tactics</t>
        </is>
      </c>
      <c r="K1" s="7" t="inlineStr">
        <is>
          <t>Conditions</t>
        </is>
      </c>
      <c r="L1" s="7" t="inlineStr">
        <is>
          <t>Key Areas</t>
        </is>
      </c>
      <c r="M1" s="7" t="inlineStr">
        <is>
          <t>Source URLs</t>
        </is>
      </c>
    </row>
    <row r="2" ht="60" customHeight="1">
      <c r="A2" s="8" t="inlineStr">
        <is>
          <t>OB1</t>
        </is>
      </c>
      <c r="B2" s="8" t="inlineStr">
        <is>
          <t>Ocean</t>
        </is>
      </c>
      <c r="C2" s="8" t="inlineStr">
        <is>
          <t>Boat</t>
        </is>
      </c>
      <c r="D2" s="8" t="inlineStr">
        <is>
          <t>Vancouver Harbour / Lower Howe Sound / Gulf Islands / Gabriola</t>
        </is>
      </c>
      <c r="E2" s="8" t="inlineStr">
        <is>
          <t>Chinook salmon (winter)</t>
        </is>
      </c>
      <c r="F2" s="8" t="inlineStr">
        <is>
          <t>Dec-Feb</t>
        </is>
      </c>
      <c r="G2" s="8" t="inlineStr">
        <is>
          <t>Nov, Mar</t>
        </is>
      </c>
      <c r="H2" s="9" t="inlineStr">
        <is>
          <t>Consistent winter fishery; strongest retrospective pattern was early winter through mid-winter.</t>
        </is>
      </c>
      <c r="I2" s="9" t="inlineStr">
        <is>
          <t>Troll larger spoons plus green/blue/chartreuse/glow hoochies and flashers; keep gear tight to bait; vary depth from suspended fish (~80 ft) to deeper fish depending on bait and tide.</t>
        </is>
      </c>
      <c r="J2" s="9" t="inlineStr">
        <is>
          <t>Not a recurring fly fishery in the reports.</t>
        </is>
      </c>
      <c r="K2" s="9" t="inlineStr">
        <is>
          <t>Bait concentration, marine forecast, dirty/cloudy water favour brighter glow/chartreuse presentations; top of flood/high slack can matter near Sandheads and Fraser mouth.</t>
        </is>
      </c>
      <c r="L2" s="9" t="inlineStr">
        <is>
          <t>Harbour, Bell Buoy/freighters, Lower Howe Sound, Cap mouth, Gabriola, South Bowen/Gower in calm weather.</t>
        </is>
      </c>
      <c r="M2" s="9" t="inlineStr">
        <is>
          <t>https://www.pacificangler.ca/blogs/learn/pacific-angler-friday-fishing-report-december-5-2025 | https://www.pacificangler.ca/blogs/learn/pacific-angler-friday-fishing-report-january-9-2026 | https://www.pacificangler.ca/blogs/learn/pacific-angler-friday-fishing-report-january-23-2026 | https://www.pacificangler.ca/blogs/learn/pacific-angler-friday-fishing-report-february-13-2026 | https://www.pacificangler.ca/blogs/learn/pacific-angler-friday-fishing-report-february-20-2026 | https://www.pacificangler.ca/blogs/learn/pacific-angler-friday-fishing-report-february-26-2021</t>
        </is>
      </c>
    </row>
    <row r="3" ht="60" customHeight="1">
      <c r="A3" s="8" t="inlineStr">
        <is>
          <t>OB2</t>
        </is>
      </c>
      <c r="B3" s="8" t="inlineStr">
        <is>
          <t>Ocean</t>
        </is>
      </c>
      <c r="C3" s="8" t="inlineStr">
        <is>
          <t>Boat</t>
        </is>
      </c>
      <c r="D3" s="8" t="inlineStr">
        <is>
          <t>Fraser Mouth / Sandheads / West Van / Area 17 (Gabriola &amp; Entrance)</t>
        </is>
      </c>
      <c r="E3" s="8" t="inlineStr">
        <is>
          <t>Chinook salmon (summer / migratory)</t>
        </is>
      </c>
      <c r="F3" s="8" t="inlineStr">
        <is>
          <t>Jul-Sep</t>
        </is>
      </c>
      <c r="G3" s="8" t="inlineStr">
        <is>
          <t>Oct</t>
        </is>
      </c>
      <c r="H3" s="9" t="inlineStr">
        <is>
          <t>July openings over on Area 17 and strong August-September migratory chinook at Fraser mouth/West Van were recurrent themes.</t>
        </is>
      </c>
      <c r="I3" s="9" t="inlineStr">
        <is>
          <t>Bait and hoochies are recurring producers; at Sandheads, fish the top of the flood over high slack; adjust downrigger depth through the column; West Van and Area 17 openings support classic trolled salmon gear.</t>
        </is>
      </c>
      <c r="J3" s="9" t="inlineStr">
        <is>
          <t>Not a recurring fly fishery in the reports.</t>
        </is>
      </c>
      <c r="K3" s="9" t="inlineStr">
        <is>
          <t>Tides, marine weather, and river levels at the Capilano/Fraser mouth affect where fish stack and whether shore-proximate routes stay productive.</t>
        </is>
      </c>
      <c r="L3" s="9" t="inlineStr">
        <is>
          <t>Sandheads, Fraser mouth, West Van shoreline, South Bowen/Gower, Gabriola, Entrance Island.</t>
        </is>
      </c>
      <c r="M3" s="9" t="inlineStr">
        <is>
          <t>https://www.pacificangler.ca/blogs/learn/pacific-angler-friday-fishing-report-august-2-2024 | https://www.pacificangler.ca/blogs/learn/pacific-angler-friday-fishing-report-august-23-2024 | https://www.pacificangler.ca/blogs/learn/pacific-angler-friday-fishing-report-july-18-2025 | https://www.pacificangler.ca/blogs/learn/pacific-angler-friday-fishing-report-october-11-2024 | https://www.pacificangler.ca/blogs/learn/pacific-angler-friday-fishing-report-september-9-2022</t>
        </is>
      </c>
    </row>
    <row r="4" ht="60" customHeight="1">
      <c r="A4" s="8" t="inlineStr">
        <is>
          <t>OB3</t>
        </is>
      </c>
      <c r="B4" s="8" t="inlineStr">
        <is>
          <t>Ocean</t>
        </is>
      </c>
      <c r="C4" s="8" t="inlineStr">
        <is>
          <t>Boat</t>
        </is>
      </c>
      <c r="D4" s="8" t="inlineStr">
        <is>
          <t>South Bowen / Sunshine Coast / Strait crossings</t>
        </is>
      </c>
      <c r="E4" s="8" t="inlineStr">
        <is>
          <t>Coho salmon (boat troll)</t>
        </is>
      </c>
      <c r="F4" s="8" t="inlineStr">
        <is>
          <t>Jun-Aug</t>
        </is>
      </c>
      <c r="G4" s="8" t="inlineStr">
        <is>
          <t>Sep</t>
        </is>
      </c>
      <c r="H4" s="9" t="inlineStr">
        <is>
          <t>Early-to-mid summer coho trolling showed up repeatedly, often as the most dependable near-surface summer boat target.</t>
        </is>
      </c>
      <c r="I4" s="9" t="inlineStr">
        <is>
          <t>Troll 2.8-3.5 mph; fish 40-60 ft early season; use reflective/UV flashers, nickel spoons, Coho Killers/Kingfishers/Wee Gees, and white/pink/green hoochies on ~28 in leaders; use sounder and waypoints to stay on bait and moving pods.</t>
        </is>
      </c>
      <c r="J4" s="9" t="inlineStr">
        <is>
          <t>Not a recurring fly fishery in the reports.</t>
        </is>
      </c>
      <c r="K4" s="9" t="inlineStr">
        <is>
          <t>Bait schools and tide-adjusted trolling speed are decisive; coho often feed high in the column early in season.</t>
        </is>
      </c>
      <c r="L4" s="9" t="inlineStr">
        <is>
          <t>South Bowen, Cowan to Roger Curtis, Gower Point, Strait crossings, Sunshine Coast.</t>
        </is>
      </c>
      <c r="M4" s="9" t="inlineStr">
        <is>
          <t>https://www.pacificangler.ca/blogs/learn/pacific-angler-friday-fishing-report-june-6-2025 | https://www.pacificangler.ca/blogs/learn/pacific-angler-friday-fishing-report-july-25-2025 | https://www.pacificangler.ca/blogs/learn/pacific-angler-friday-fishing-report-august-2-2024</t>
        </is>
      </c>
    </row>
    <row r="5" ht="60" customHeight="1">
      <c r="A5" s="8" t="inlineStr">
        <is>
          <t>OB4</t>
        </is>
      </c>
      <c r="B5" s="8" t="inlineStr">
        <is>
          <t>Ocean</t>
        </is>
      </c>
      <c r="C5" s="8" t="inlineStr">
        <is>
          <t>Boat</t>
        </is>
      </c>
      <c r="D5" s="8" t="inlineStr">
        <is>
          <t>Area 17 / Strait crossings / mixed trips</t>
        </is>
      </c>
      <c r="E5" s="8" t="inlineStr">
        <is>
          <t>Lingcod, rockfish, prawns (secondary mixed targets)</t>
        </is>
      </c>
      <c r="F5" s="8" t="inlineStr">
        <is>
          <t>Jul-Sep for bottomfish; Dec-Feb for prawns paired with chinook</t>
        </is>
      </c>
      <c r="G5" s="8" t="inlineStr">
        <is>
          <t>Mar, Oct</t>
        </is>
      </c>
      <c r="H5" s="9" t="inlineStr">
        <is>
          <t>Mixed-species charters often paired summer salmon with lingcod/rockfish and winter chinook with prawning.</t>
        </is>
      </c>
      <c r="I5" s="9" t="inlineStr">
        <is>
          <t>Bottomfish were usually secondary catches on longer summer runs; prawning was frequently paired with winter chinook trips.</t>
        </is>
      </c>
      <c r="J5" s="9" t="inlineStr">
        <is>
          <t>Not emphasized.</t>
        </is>
      </c>
      <c r="K5" s="9" t="inlineStr">
        <is>
          <t>Marine conditions determine whether longer runs are possible.</t>
        </is>
      </c>
      <c r="L5" s="9" t="inlineStr">
        <is>
          <t>Gabriola, Entrance Island, Lower Howe Sound / harbour charters.</t>
        </is>
      </c>
      <c r="M5" s="9" t="inlineStr">
        <is>
          <t>https://www.pacificangler.ca/blogs/learn/pacific-angler-friday-fishing-report-august-2-2024 | https://www.pacificangler.ca/blogs/learn/pacific-angler-friday-fishing-report-august-23-2024 | https://www.pacificangler.ca/blogs/learn/pacific-angler-friday-fishing-report-january-9-2026 | https://www.pacificangler.ca/blogs/learn/pacific-angler-friday-fishing-report-february-13-2026</t>
        </is>
      </c>
    </row>
    <row r="6" ht="60" customHeight="1">
      <c r="A6" s="8" t="inlineStr">
        <is>
          <t>OE1</t>
        </is>
      </c>
      <c r="B6" s="8" t="inlineStr">
        <is>
          <t>Ocean</t>
        </is>
      </c>
      <c r="C6" s="8" t="inlineStr">
        <is>
          <t>Beach/Estuary</t>
        </is>
      </c>
      <c r="D6" s="8" t="inlineStr">
        <is>
          <t>Capilano mouth / North Shore beaches / West Van shoreline</t>
        </is>
      </c>
      <c r="E6" s="8" t="inlineStr">
        <is>
          <t>Coho salmon (beach &amp; estuary)</t>
        </is>
      </c>
      <c r="F6" s="8" t="inlineStr">
        <is>
          <t>Jun-Aug</t>
        </is>
      </c>
      <c r="G6" s="8" t="inlineStr">
        <is>
          <t>Sep-Oct</t>
        </is>
      </c>
      <c r="H6" s="9" t="inlineStr">
        <is>
          <t>Morning tide changes and first light were the most consistent shore-based coho signals; low river conditions often kept fish stacked near the mouth/beaches.</t>
        </is>
      </c>
      <c r="I6" s="9" t="inlineStr">
        <is>
          <t>Spinners, spoons, buzz bombs, and spinner-hoochie combos; medium/fast 8-12 lb spinning rod, usually 8'6"+; carry small/medium/large presentations to cover shallow and deeper lanes.</t>
        </is>
      </c>
      <c r="J6" s="9" t="inlineStr">
        <is>
          <t>6-8 wt with floating or clear intermediate line; smaller coho flies plus krill/shrimp/euphausiid or small pink/flash patterns; strip presentations along tide edges.</t>
        </is>
      </c>
      <c r="K6" s="9" t="inlineStr">
        <is>
          <t>Early light, morning tide changes, low/descending tides, and low river levels that hold fish outside the river.</t>
        </is>
      </c>
      <c r="L6" s="9" t="inlineStr">
        <is>
          <t>Capilano mouth, Ambleside/West Van shoreline, North Vancouver beaches.</t>
        </is>
      </c>
      <c r="M6" s="9" t="inlineStr">
        <is>
          <t>https://www.pacificangler.ca/blogs/learn/pacific-angler-friday-fishing-report-july-23-2021 | https://www.pacificangler.ca/blogs/learn/pacific-angler-friday-fishing-report-june-13-2025 | https://www.pacificangler.ca/blogs/learn/pacific-angler-friday-fishing-report-june-20-2025 | https://www.pacificangler.ca/blogs/learn/pacific-angler-friday-fishing-report-july-18-2025 | https://www.pacificangler.ca/blogs/learn/pacific-angler-friday-fishing-report-august-2-2024</t>
        </is>
      </c>
    </row>
    <row r="7" ht="60" customHeight="1">
      <c r="A7" s="8" t="inlineStr">
        <is>
          <t>OE2</t>
        </is>
      </c>
      <c r="B7" s="8" t="inlineStr">
        <is>
          <t>Ocean</t>
        </is>
      </c>
      <c r="C7" s="8" t="inlineStr">
        <is>
          <t>Beach/Estuary</t>
        </is>
      </c>
      <c r="D7" s="8" t="inlineStr">
        <is>
          <t>North Shore beaches / Vancouver beaches</t>
        </is>
      </c>
      <c r="E7" s="8" t="inlineStr">
        <is>
          <t>Pink salmon (beach, odd-year pattern)</t>
        </is>
      </c>
      <c r="F7" s="8" t="inlineStr">
        <is>
          <t>Jul-Aug</t>
        </is>
      </c>
      <c r="G7" s="8" t="inlineStr">
        <is>
          <t>Sep</t>
        </is>
      </c>
      <c r="H7" s="9" t="inlineStr">
        <is>
          <t>Odd-year pinks became a significant beach opportunity once the run entered the inlet; coho remained the dominant target before numbers built.</t>
        </is>
      </c>
      <c r="I7" s="9" t="inlineStr">
        <is>
          <t>Small pink flies, Tasmanian Devils, pink lures, and 2-3 inch pink buzz bombs; early arrival often starts at Ambleside/North Shore.</t>
        </is>
      </c>
      <c r="J7" s="9" t="inlineStr">
        <is>
          <t>Small pink flies and other modest-profile beach flies.</t>
        </is>
      </c>
      <c r="K7" s="9" t="inlineStr">
        <is>
          <t>Early arrivals build over several weeks; tide changes and crowd management matter on urban beaches.</t>
        </is>
      </c>
      <c r="L7" s="9" t="inlineStr">
        <is>
          <t>Ambleside and other North Shore beaches.</t>
        </is>
      </c>
      <c r="M7" s="9" t="inlineStr">
        <is>
          <t>https://www.pacificangler.ca/blogs/learn/pacific-angler-friday-fishing-report-july-18-2025 | https://www.pacificangler.ca/blogs/learn/pacific-angler-friday-fishing-report-september-8-2023</t>
        </is>
      </c>
    </row>
    <row r="8" ht="60" customHeight="1">
      <c r="A8" s="8" t="inlineStr">
        <is>
          <t>OE3</t>
        </is>
      </c>
      <c r="B8" s="8" t="inlineStr">
        <is>
          <t>Ocean</t>
        </is>
      </c>
      <c r="C8" s="8" t="inlineStr">
        <is>
          <t>Beach/Estuary</t>
        </is>
      </c>
      <c r="D8" s="8" t="inlineStr">
        <is>
          <t>Estuaries, Fraser tributary mouths, North Vancouver beaches, Blackie Spit</t>
        </is>
      </c>
      <c r="E8" s="8" t="inlineStr">
        <is>
          <t>Sea-run cutthroat trout</t>
        </is>
      </c>
      <c r="F8" s="8" t="inlineStr">
        <is>
          <t>Mar-May</t>
        </is>
      </c>
      <c r="G8" s="8" t="inlineStr">
        <is>
          <t>Feb, Jun</t>
        </is>
      </c>
      <c r="H8" s="9" t="inlineStr">
        <is>
          <t>Spring fry-hatch timing was the key trigger. Reports repeatedly tied cutthroat activity to warming trends, fry presence, and estuary bait concentration.</t>
        </is>
      </c>
      <c r="I8" s="9" t="inlineStr">
        <is>
          <t>Light spinning rods with small Crocs, Dick-Nites, small spinners on 6-8 lb mono or light braid; keep moving and cover multiple spots.</t>
        </is>
      </c>
      <c r="J8" s="9" t="inlineStr">
        <is>
          <t>4-6 wt with floating or ghost-tip/intermediate lines; epoxy fry, muddler minnows, poppers (AS, Miyawaki), Chum Baby, Dahlia's Squid and other fry/estuary patterns; stripping basket strongly recommended from shore.</t>
        </is>
      </c>
      <c r="K8" s="9" t="inlineStr">
        <is>
          <t>First warm spell, fry movement, mornings with fish slashing fry close to shore, and good high tides in the morning.</t>
        </is>
      </c>
      <c r="L8" s="9" t="inlineStr">
        <is>
          <t>Fraser/Harrison tributary estuaries, North Vancouver beaches, Blackie Spit, small coastal creek mouths.</t>
        </is>
      </c>
      <c r="M8" s="9" t="inlineStr">
        <is>
          <t>https://www.pacificangler.ca/blogs/learn/pacific-angler-friday-fishing-report-february-17-2023 | https://www.pacificangler.ca/blogs/learn/pacific-angler-friday-fishing-report-april-25-2025 | https://www.pacificangler.ca/blogs/learn/pacific-angler-friday-fishing-report-april-18-2025</t>
        </is>
      </c>
    </row>
    <row r="9" ht="60" customHeight="1">
      <c r="A9" s="10" t="inlineStr">
        <is>
          <t>RV1</t>
        </is>
      </c>
      <c r="B9" s="10" t="inlineStr">
        <is>
          <t>River</t>
        </is>
      </c>
      <c r="C9" s="10" t="inlineStr">
        <is>
          <t>Vedder/Chilliwack</t>
        </is>
      </c>
      <c r="D9" s="10" t="inlineStr">
        <is>
          <t>Vedder / Chilliwack River</t>
        </is>
      </c>
      <c r="E9" s="10" t="inlineStr">
        <is>
          <t>Steelhead</t>
        </is>
      </c>
      <c r="F9" s="10" t="inlineStr">
        <is>
          <t>Jan-Mar</t>
        </is>
      </c>
      <c r="G9" s="10" t="inlineStr">
        <is>
          <t>Dec, Apr</t>
        </is>
      </c>
      <c r="H9" s="9" t="inlineStr">
        <is>
          <t>February was repeatedly called peak steelhead time, especially on the Vedder, but patterns start in winter and extend into early spring.</t>
        </is>
      </c>
      <c r="I9" s="9" t="inlineStr">
        <is>
          <t>Low clear water: downsize with small pink worms, beads, blades, shrimp, #2-4 hooks and 12-15 lb fluorocarbon; coloured water: big pink worms and flashier offerings stay relevant.</t>
        </is>
      </c>
      <c r="J9" s="9" t="inlineStr">
        <is>
          <t>Swing or present smaller, subtler flies in low clear water; larger/brighter flies remain useful when rain adds colour; cover deeper holding water thoroughly in low clear conditions.</t>
        </is>
      </c>
      <c r="K9" s="9" t="inlineStr">
        <is>
          <t>Low clear water is common and demands stealth; short rain events colour fishable water and cold snaps can clean up the river; cover water and adapt to visibility.</t>
        </is>
      </c>
      <c r="L9" s="9" t="inlineStr">
        <is>
          <t>Vedder/Chilliwack system from lower to upper holding water.</t>
        </is>
      </c>
      <c r="M9" s="9" t="inlineStr">
        <is>
          <t>https://www.pacificangler.ca/blogs/learn/pacific-angler-friday-fishing-report-february-12-2021 | https://www.pacificangler.ca/blogs/learn/pacific-angler-friday-fishing-report-february-26-2021 | https://www.pacificangler.ca/blogs/learn/pacific-angler-friday-fishing-report-february-13-2026 | https://www.pacificangler.ca/blogs/learn/pacific-angler-friday-fishing-report-february-20-2026</t>
        </is>
      </c>
    </row>
    <row r="10" ht="60" customHeight="1">
      <c r="A10" s="10" t="inlineStr">
        <is>
          <t>RV2</t>
        </is>
      </c>
      <c r="B10" s="10" t="inlineStr">
        <is>
          <t>River</t>
        </is>
      </c>
      <c r="C10" s="10" t="inlineStr">
        <is>
          <t>Vedder/Chilliwack</t>
        </is>
      </c>
      <c r="D10" s="10" t="inlineStr">
        <is>
          <t>Vedder / Chilliwack River</t>
        </is>
      </c>
      <c r="E10" s="10" t="inlineStr">
        <is>
          <t>Summer chinook</t>
        </is>
      </c>
      <c r="F10" s="10" t="inlineStr">
        <is>
          <t>Jul</t>
        </is>
      </c>
      <c r="G10" s="10" t="inlineStr">
        <is>
          <t>Aug</t>
        </is>
      </c>
      <c r="H10" s="9" t="inlineStr">
        <is>
          <t>The summer chinook fishery was consistently described as short and front-loaded; by early August it is already tapering.</t>
        </is>
      </c>
      <c r="I10" s="9" t="inlineStr">
        <is>
          <t>Standard salmon gear; small water-level bumps can move fish and improve catch rates, but the window is brief.</t>
        </is>
      </c>
      <c r="J10" s="9" t="inlineStr">
        <is>
          <t>Covered in the report ecosystem as a valid walk-and-wade salmon fly fishery using sink tips and selected flies, but the reports emphasized general salmon-fly instruction more than weekly specific patterns here.</t>
        </is>
      </c>
      <c r="K10" s="9" t="inlineStr">
        <is>
          <t>Very small rain bumps can move fish in otherwise low summer water; scout low-water structure for coming fall season.</t>
        </is>
      </c>
      <c r="L10" s="9" t="inlineStr">
        <is>
          <t>Main stem C/V lower and mid river.</t>
        </is>
      </c>
      <c r="M10" s="9" t="inlineStr">
        <is>
          <t>https://www.pacificangler.ca/blogs/learn/pacific-angler-friday-fishing-report-july-12-2024 | https://www.pacificangler.ca/blogs/learn/pacific-angler-friday-fishing-report-august-2-2024 | https://www.pacificangler.ca/blogs/learn/pacific-angler-friday-fishing-report-august-1-2025 | https://www.pacificangler.ca/blogs/learn/pacific-angler-friday-fishing-report-june-20-2025</t>
        </is>
      </c>
    </row>
    <row r="11" ht="60" customHeight="1">
      <c r="A11" s="10" t="inlineStr">
        <is>
          <t>RV3</t>
        </is>
      </c>
      <c r="B11" s="10" t="inlineStr">
        <is>
          <t>River</t>
        </is>
      </c>
      <c r="C11" s="10" t="inlineStr">
        <is>
          <t>Vedder/Chilliwack</t>
        </is>
      </c>
      <c r="D11" s="10" t="inlineStr">
        <is>
          <t>Vedder / Chilliwack River</t>
        </is>
      </c>
      <c r="E11" s="10" t="inlineStr">
        <is>
          <t>Fall chinook and coho</t>
        </is>
      </c>
      <c r="F11" s="10" t="inlineStr">
        <is>
          <t>Sep-Oct</t>
        </is>
      </c>
      <c r="G11" s="10" t="inlineStr">
        <is>
          <t>Aug, Nov</t>
        </is>
      </c>
      <c r="H11" s="9" t="inlineStr">
        <is>
          <t>Mid/late September into October was the recurring prime window, with chinook arriving first in force and coho building toward month end.</t>
        </is>
      </c>
      <c r="I11" s="9" t="inlineStr">
        <is>
          <t>Bait, beads, blades, yarn, jigs, spinners, spoons; in low clear water, smaller and subtler presentations shine; first/last light often best.</t>
        </is>
      </c>
      <c r="J11" s="9" t="inlineStr">
        <is>
          <t>Swinging salmon flies on sink tips/full sink lines is repeatedly taught and referenced as a core approach.</t>
        </is>
      </c>
      <c r="K11" s="9" t="inlineStr">
        <is>
          <t>Low water can compress fish into predictable holding water; rain is typically needed for broader movement and easier fishing.</t>
        </is>
      </c>
      <c r="L11" s="9" t="inlineStr">
        <is>
          <t>Lower river for concentrations in low water; deeper/faster holding water for chinook, shallower edges/tailouts for coho.</t>
        </is>
      </c>
      <c r="M11" s="9" t="inlineStr">
        <is>
          <t>https://www.pacificangler.ca/blogs/learn/pacific-angler-friday-fishing-report-september-20-2024 | https://www.pacificangler.ca/blogs/learn/pacific-angler-friday-fishing-report-september-3-2021 | https://www.pacificangler.ca/blogs/learn/pacific-angler-friday-fishing-report-october-10-2025</t>
        </is>
      </c>
    </row>
    <row r="12" ht="60" customHeight="1">
      <c r="A12" s="10" t="inlineStr">
        <is>
          <t>RV4</t>
        </is>
      </c>
      <c r="B12" s="10" t="inlineStr">
        <is>
          <t>River</t>
        </is>
      </c>
      <c r="C12" s="10" t="inlineStr">
        <is>
          <t>Vedder/Chilliwack</t>
        </is>
      </c>
      <c r="D12" s="10" t="inlineStr">
        <is>
          <t>Vedder / Chilliwack River</t>
        </is>
      </c>
      <c r="E12" s="10" t="inlineStr">
        <is>
          <t>Chum salmon</t>
        </is>
      </c>
      <c r="F12" s="10" t="inlineStr">
        <is>
          <t>Oct-Nov</t>
        </is>
      </c>
      <c r="G12" s="10" t="inlineStr">
        <is>
          <t>Sep, Dec</t>
        </is>
      </c>
      <c r="H12" s="9" t="inlineStr">
        <is>
          <t>Chum fishing usually builds after chinook/coho, with lower-river opportunities beginning by late September and stronger October action.</t>
        </is>
      </c>
      <c r="I12" s="9" t="inlineStr">
        <is>
          <t>Jigs are a recurrent recommendation; chum bite readily and can be an approachable introduction fishery.</t>
        </is>
      </c>
      <c r="J12" s="9" t="inlineStr">
        <is>
          <t>Bright swinging flies and general salmon flies are repeatedly called effective; chum are described as especially receptive to flies.</t>
        </is>
      </c>
      <c r="K12" s="9" t="inlineStr">
        <is>
          <t>Fish can bite through the day; watch regulations and avoid poor handling/snagging practices around heavily pressured salmon water.</t>
        </is>
      </c>
      <c r="L12" s="9" t="inlineStr">
        <is>
          <t>Lower to mid C/V; late-season fish concentrate where water and access align.</t>
        </is>
      </c>
      <c r="M12" s="9" t="inlineStr">
        <is>
          <t>https://www.pacificangler.ca/blogs/learn/pacific-angler-friday-fishing-report-august-27-2021 | https://www.pacificangler.ca/blogs/learn/pacific-angler-friday-fishing-report-october-25-2024 | https://www.pacificangler.ca/blogs/learn/pacific-angler-friday-fishing-report-november-8-2024</t>
        </is>
      </c>
    </row>
    <row r="13" ht="60" customHeight="1">
      <c r="A13" s="10" t="inlineStr">
        <is>
          <t>RV5</t>
        </is>
      </c>
      <c r="B13" s="10" t="inlineStr">
        <is>
          <t>River</t>
        </is>
      </c>
      <c r="C13" s="10" t="inlineStr">
        <is>
          <t>Squamish / Sea-to-Sky</t>
        </is>
      </c>
      <c r="D13" s="10" t="inlineStr">
        <is>
          <t>Squamish main stem and tributaries / Sea-to-Sky corridor</t>
        </is>
      </c>
      <c r="E13" s="10" t="inlineStr">
        <is>
          <t>Bull trout, rainbows, cutthroat (spring fry fishery)</t>
        </is>
      </c>
      <c r="F13" s="10" t="inlineStr">
        <is>
          <t>Mar-May</t>
        </is>
      </c>
      <c r="G13" s="10" t="inlineStr">
        <is>
          <t>Feb, Jun</t>
        </is>
      </c>
      <c r="H13" s="9" t="inlineStr">
        <is>
          <t>Spring warming and fry emergence drive one of the most repeated trout patterns in the archive.</t>
        </is>
      </c>
      <c r="I13" s="9" t="inlineStr">
        <is>
          <t>Crocs, rooster tails, Blue Fox spinners, spoons and blades; in low clear conditions go smaller; in glacial or coloured water use louder/profiled offerings.</t>
        </is>
      </c>
      <c r="J13" s="9" t="inlineStr">
        <is>
          <t>Fry patterns, sculpins, streamers, rabbit strip patterns, jig streamers, small alevin under indicators, light sink tips or long fluorocarbon leaders to cast/strip/swing; more flash once fry are present and water warms.</t>
        </is>
      </c>
      <c r="K13" s="9" t="inlineStr">
        <is>
          <t>Find fry, birds, slower water and bank structure; budding pussy willows and active bird life were explicitly cited as natural indicators; glacial colour can quickly end the spring window.</t>
        </is>
      </c>
      <c r="L13" s="9" t="inlineStr">
        <is>
          <t>Upper/middle Squamish, tributaries and softer side water / slower runs.</t>
        </is>
      </c>
      <c r="M13" s="9" t="inlineStr">
        <is>
          <t>https://www.pacificangler.ca/blogs/learn/pacific-angler-friday-fishing-report-march-7-2025 | https://www.pacificangler.ca/blogs/learn/pacific-angler-friday-fishing-report-april-25-2025 | https://www.pacificangler.ca/blogs/learn/pacific-angler-friday-fishing-report-february-27-2026 | https://www.pacificangler.ca/blogs/learn/pacific-angler-friday-fishing-report-march-6-2026 | https://www.pacificangler.ca/blogs/learn/pacific-angler-friday-fishing-report-march-13-2026</t>
        </is>
      </c>
    </row>
    <row r="14" ht="60" customHeight="1">
      <c r="A14" s="10" t="inlineStr">
        <is>
          <t>RV6</t>
        </is>
      </c>
      <c r="B14" s="10" t="inlineStr">
        <is>
          <t>River</t>
        </is>
      </c>
      <c r="C14" s="10" t="inlineStr">
        <is>
          <t>Squamish / Sea-to-Sky</t>
        </is>
      </c>
      <c r="D14" s="10" t="inlineStr">
        <is>
          <t>Squamish main stem and tributaries / Sea-to-Sky corridor</t>
        </is>
      </c>
      <c r="E14" s="10" t="inlineStr">
        <is>
          <t>Coho and pink salmon (plus mixed char/trout)</t>
        </is>
      </c>
      <c r="F14" s="10" t="inlineStr">
        <is>
          <t>Sep-Oct</t>
        </is>
      </c>
      <c r="G14" s="10" t="inlineStr">
        <is>
          <t>Aug, Nov</t>
        </is>
      </c>
      <c r="H14" s="9" t="inlineStr">
        <is>
          <t>The recurring pattern was a tough milky early period followed by improving coho/trout/char action once temperatures dropped and the system cleared.</t>
        </is>
      </c>
      <c r="I14" s="9" t="inlineStr">
        <is>
          <t>Large spoons, spinners, twitching jigs in dirty water; beads, blades and unscented worms also showed up for char/trout/coho.</t>
        </is>
      </c>
      <c r="J14" s="9" t="inlineStr">
        <is>
          <t>Large flashy 'twitch flies' / heavy streamers in dirty water; swing/strip presentations with movement.</t>
        </is>
      </c>
      <c r="K14" s="9" t="inlineStr">
        <is>
          <t>Main stem colour and temperature control everything; first week of October is often the shift point, but warm years can delay it.</t>
        </is>
      </c>
      <c r="L14" s="9" t="inlineStr">
        <is>
          <t>Main stem scouting water plus tributaries and clearer side water.</t>
        </is>
      </c>
      <c r="M14" s="9" t="inlineStr">
        <is>
          <t>https://www.pacificangler.ca/blogs/learn/pacific-angler-friday-fishing-report-october-1-2021 | https://www.pacificangler.ca/blogs/learn/pacific-angler-friday-fishing-report-september-20-2024 | https://www.pacificangler.ca/blogs/learn/pacific-angler-friday-fishing-report-september-19-2025</t>
        </is>
      </c>
    </row>
    <row r="15" ht="60" customHeight="1">
      <c r="A15" s="10" t="inlineStr">
        <is>
          <t>RV7</t>
        </is>
      </c>
      <c r="B15" s="10" t="inlineStr">
        <is>
          <t>River</t>
        </is>
      </c>
      <c r="C15" s="10" t="inlineStr">
        <is>
          <t>Squamish / Sea-to-Sky</t>
        </is>
      </c>
      <c r="D15" s="10" t="inlineStr">
        <is>
          <t>Sea-to-Sky corridor</t>
        </is>
      </c>
      <c r="E15" s="10" t="inlineStr">
        <is>
          <t>Bull trout / egg-eaters (late fall to winter)</t>
        </is>
      </c>
      <c r="F15" s="10" t="inlineStr">
        <is>
          <t>Nov-Dec</t>
        </is>
      </c>
      <c r="G15" s="10" t="inlineStr">
        <is>
          <t>Jan</t>
        </is>
      </c>
      <c r="H15" s="9" t="inlineStr">
        <is>
          <t>Once salmon spawn out, the reports repeatedly shifted to egg-based trout/char opportunities.</t>
        </is>
      </c>
      <c r="I15" s="9" t="inlineStr">
        <is>
          <t>Eggs, beads, and careful leader/rigging details around egg-eater presentations.</t>
        </is>
      </c>
      <c r="J15" s="9" t="inlineStr">
        <is>
          <t>Egg patterns and trout/char flies around salmon spawn zones.</t>
        </is>
      </c>
      <c r="K15" s="9" t="inlineStr">
        <is>
          <t>Look for slower water with cover and spawned-out salmon nearby; rain can improve conditions.</t>
        </is>
      </c>
      <c r="L15" s="9" t="inlineStr">
        <is>
          <t>Sea-to-Sky main stems and tributaries.</t>
        </is>
      </c>
      <c r="M15" s="9" t="inlineStr">
        <is>
          <t>https://www.pacificangler.ca/blogs/learn/pacific-angler-friday-fishing-report-december-13-2024 | https://www.pacificangler.ca/blogs/learn/pacific-angler-friday-fishing-report-december-5-2025 | https://www.pacificangler.ca/blogs/learn/pacific-angler-friday-fishing-report-january-2-2026</t>
        </is>
      </c>
    </row>
    <row r="16" ht="60" customHeight="1">
      <c r="A16" s="10" t="inlineStr">
        <is>
          <t>RV8</t>
        </is>
      </c>
      <c r="B16" s="10" t="inlineStr">
        <is>
          <t>River</t>
        </is>
      </c>
      <c r="C16" s="10" t="inlineStr">
        <is>
          <t>Harrison / North-side systems</t>
        </is>
      </c>
      <c r="D16" s="10" t="inlineStr">
        <is>
          <t>Harrison River, sloughs, tributaries, north-side Fraser systems</t>
        </is>
      </c>
      <c r="E16" s="10" t="inlineStr">
        <is>
          <t>Coho and chum salmon</t>
        </is>
      </c>
      <c r="F16" s="10" t="inlineStr">
        <is>
          <t>Oct-Nov</t>
        </is>
      </c>
      <c r="G16" s="10" t="inlineStr">
        <is>
          <t>Sep, Dec</t>
        </is>
      </c>
      <c r="H16" s="9" t="inlineStr">
        <is>
          <t>A classic later-season fishery in the reports, frequently described as turning on as south-side systems slowed.</t>
        </is>
      </c>
      <c r="I16" s="9" t="inlineStr">
        <is>
          <t>Spinners, spoons, weighted casting options, twitching jigs, larger-profile lures in higher/dirty water.</t>
        </is>
      </c>
      <c r="J16" s="9" t="inlineStr">
        <is>
          <t>Large-profile swing or strip flies; flashy offerings in side channels and frog water; in dirty water go larger and louder.</t>
        </is>
      </c>
      <c r="K16" s="9" t="inlineStr">
        <is>
          <t>Tides influence staging fish early; higher/dirty water calls for larger offerings; side channels and back channels are especially important.</t>
        </is>
      </c>
      <c r="L16" s="9" t="inlineStr">
        <is>
          <t>Harrison main stem, side channels, tributaries, confluence zones, sloughs.</t>
        </is>
      </c>
      <c r="M16" s="9" t="inlineStr">
        <is>
          <t>https://www.pacificangler.ca/blogs/learn/pacific-angler-friday-fishing-report-october-15-2021 | https://www.pacificangler.ca/blogs/learn/pacific-angler-friday-fishing-report-september-19-2025 | https://www.pacificangler.ca/blogs/learn/pacific-angler-friday-fishing-report-november-1-2024 | https://www.pacificangler.ca/blogs/learn/pacific-angler-friday-fishing-report-november-22-2024</t>
        </is>
      </c>
    </row>
    <row r="17" ht="60" customHeight="1">
      <c r="A17" s="10" t="inlineStr">
        <is>
          <t>RV9</t>
        </is>
      </c>
      <c r="B17" s="10" t="inlineStr">
        <is>
          <t>River</t>
        </is>
      </c>
      <c r="C17" s="10" t="inlineStr">
        <is>
          <t>Harrison / North-side systems</t>
        </is>
      </c>
      <c r="D17" s="10" t="inlineStr">
        <is>
          <t>Harrison / lower Fraser confluence area</t>
        </is>
      </c>
      <c r="E17" s="10" t="inlineStr">
        <is>
          <t>Early staging salmon / boat intercept fishery</t>
        </is>
      </c>
      <c r="F17" s="10" t="inlineStr">
        <is>
          <t>Sep</t>
        </is>
      </c>
      <c r="G17" s="10" t="inlineStr">
        <is>
          <t>Oct</t>
        </is>
      </c>
      <c r="H17" s="9" t="inlineStr">
        <is>
          <t>Before the main Harrison bite, the reports often advised watching tides and intercepting staging fish around the confluence.</t>
        </is>
      </c>
      <c r="I17" s="9" t="inlineStr">
        <is>
          <t>Boat-based anchoring or intercept tactics around staging lanes.</t>
        </is>
      </c>
      <c r="J17" s="9" t="inlineStr">
        <is>
          <t>Not a primary theme in this specific pattern.</t>
        </is>
      </c>
      <c r="K17" s="9" t="inlineStr">
        <is>
          <t>Tides and rising water that allow fish to push farther upstream.</t>
        </is>
      </c>
      <c r="L17" s="9" t="inlineStr">
        <is>
          <t>Harrison Knob / lower confluence water.</t>
        </is>
      </c>
      <c r="M17" s="9" t="inlineStr">
        <is>
          <t>https://www.pacificangler.ca/blogs/learn/pacific-angler-friday-fishing-report-september-20-2024</t>
        </is>
      </c>
    </row>
    <row r="18" ht="60" customHeight="1">
      <c r="A18" s="10" t="inlineStr">
        <is>
          <t>RV10</t>
        </is>
      </c>
      <c r="B18" s="10" t="inlineStr">
        <is>
          <t>River</t>
        </is>
      </c>
      <c r="C18" s="10" t="inlineStr">
        <is>
          <t>Capilano</t>
        </is>
      </c>
      <c r="D18" s="10" t="inlineStr">
        <is>
          <t>Capilano River and mouth</t>
        </is>
      </c>
      <c r="E18" s="10" t="inlineStr">
        <is>
          <t>Coho and chinook salmon (river / mouth)</t>
        </is>
      </c>
      <c r="F18" s="10" t="inlineStr">
        <is>
          <t>Jun-Aug</t>
        </is>
      </c>
      <c r="G18" s="10" t="inlineStr">
        <is>
          <t>Sep-Oct</t>
        </is>
      </c>
      <c r="H18" s="9" t="inlineStr">
        <is>
          <t>The fishery is highly timing-driven: low light and tide changes on the beach, and surprise river bumps for fresh fish in-river.</t>
        </is>
      </c>
      <c r="I18" s="9" t="inlineStr">
        <is>
          <t>Beach: spinners, spoons, hoochie/spinner combos, buzz bombs. River: smaller spinner, spoon and bead presentations after bumps.</t>
        </is>
      </c>
      <c r="J18" s="9" t="inlineStr">
        <is>
          <t>Smaller coho patterns and general salmon flies; fly opportunities improve when bumps add colour and fish push through.</t>
        </is>
      </c>
      <c r="K18" s="9" t="inlineStr">
        <is>
          <t>Morning tide changes, first light, low water, and small rainfall bumps that freshen fish and add colour to otherwise clear pools.</t>
        </is>
      </c>
      <c r="L18" s="9" t="inlineStr">
        <is>
          <t>Cap mouth, lower beach, weir-adjacent river access / moving fish lanes.</t>
        </is>
      </c>
      <c r="M18" s="9" t="inlineStr">
        <is>
          <t>https://www.pacificangler.ca/blogs/learn/pacific-angler-friday-fishing-report-july-9-2021 | https://www.pacificangler.ca/blogs/learn/pacific-angler-friday-fishing-report-july-30-2021 | https://www.pacificangler.ca/blogs/learn/pacific-angler-friday-fishing-report-august-2-2024 | https://www.pacificangler.ca/blogs/learn/pacific-angler-friday-fishing-report-june-13-2025 | https://www.pacificangler.ca/blogs/learn/pacific-angler-friday-fishing-report-october-11-2024</t>
        </is>
      </c>
    </row>
    <row r="19" ht="60" customHeight="1">
      <c r="A19" s="10" t="inlineStr">
        <is>
          <t>RV11</t>
        </is>
      </c>
      <c r="B19" s="10" t="inlineStr">
        <is>
          <t>River</t>
        </is>
      </c>
      <c r="C19" s="10" t="inlineStr">
        <is>
          <t>Stave</t>
        </is>
      </c>
      <c r="D19" s="10" t="inlineStr">
        <is>
          <t>Stave River</t>
        </is>
      </c>
      <c r="E19" s="10" t="inlineStr">
        <is>
          <t>Winter steelhead (backup / stable-flow option) plus cutthroat/whitefish</t>
        </is>
      </c>
      <c r="F19" s="10" t="inlineStr">
        <is>
          <t>Jan-Feb</t>
        </is>
      </c>
      <c r="G19" s="10" t="inlineStr">
        <is>
          <t>Mar</t>
        </is>
      </c>
      <c r="H19" s="9" t="inlineStr">
        <is>
          <t>Not a high-volume steelhead river in the archive, but repeatedly mentioned as an option when weather makes other rivers unfishable.</t>
        </is>
      </c>
      <c r="I19" s="9" t="inlineStr">
        <is>
          <t>Conventional winter steelhead tactics; focus slower seams/back channels for resident species when anadromous fish are absent.</t>
        </is>
      </c>
      <c r="J19" s="9" t="inlineStr">
        <is>
          <t>Standard steelhead and trout approaches depending on target.</t>
        </is>
      </c>
      <c r="K19" s="9" t="inlineStr">
        <is>
          <t>Dam-influenced stability can preserve fishability when other rivers blow out.</t>
        </is>
      </c>
      <c r="L19" s="9" t="inlineStr">
        <is>
          <t>Slower seams, back channels, stable-flow reaches.</t>
        </is>
      </c>
      <c r="M19" s="9" t="inlineStr">
        <is>
          <t>https://www.pacificangler.ca/blogs/learn/pacific-angler-friday-fishing-report-january-22-2021 | https://www.pacificangler.ca/blogs/learn/pacific-angler-friday-fishing-report-february-12-2021</t>
        </is>
      </c>
    </row>
    <row r="20" ht="60" customHeight="1">
      <c r="A20" s="10" t="inlineStr">
        <is>
          <t>RV12</t>
        </is>
      </c>
      <c r="B20" s="10" t="inlineStr">
        <is>
          <t>River</t>
        </is>
      </c>
      <c r="C20" s="10" t="inlineStr">
        <is>
          <t>Lower Fraser</t>
        </is>
      </c>
      <c r="D20" s="10" t="inlineStr">
        <is>
          <t>Lower Fraser River</t>
        </is>
      </c>
      <c r="E20" s="10" t="inlineStr">
        <is>
          <t>White sturgeon</t>
        </is>
      </c>
      <c r="F20" s="10" t="inlineStr">
        <is>
          <t>Aug-Sep</t>
        </is>
      </c>
      <c r="G20" s="10" t="inlineStr">
        <is>
          <t>Jun-Jul, Oct</t>
        </is>
      </c>
      <c r="H20" s="9" t="inlineStr">
        <is>
          <t>Warm-water late summer was the strongest bite pattern; June high water still produced but with fewer, often larger, bites.</t>
        </is>
      </c>
      <c r="I20" s="9" t="inlineStr">
        <is>
          <t>Boat or shore bait fishing; spring/summer bait staples include pikeminnow, roe and lamprey; shore anglers were specifically advised to focus two hours before and after high slack tide and use lighter weights when possible.</t>
        </is>
      </c>
      <c r="J20" s="9" t="inlineStr">
        <is>
          <t>Not a recurring fly fishery.</t>
        </is>
      </c>
      <c r="K20" s="9" t="inlineStr">
        <is>
          <t>Warm water boosts metabolism and bite frequency; in high water expect fewer but quality fish; avoid scent contamination, watch debris, and plan around slack tides.</t>
        </is>
      </c>
      <c r="L20" s="9" t="inlineStr">
        <is>
          <t>Lower Fraser main stem from shore and jet-boat drifts.</t>
        </is>
      </c>
      <c r="M20" s="9" t="inlineStr">
        <is>
          <t>https://www.pacificangler.ca/blogs/learn/pacific-angler-friday-fishing-report-august-18-2023 | https://www.pacificangler.ca/blogs/learn/pacific-angler-friday-fishing-report-august-16-2024 | https://www.pacificangler.ca/blogs/learn/pacific-angler-friday-fishing-report-june-20-2025 | https://www.pacificangler.ca/blogs/learn/pacific-angler-friday-fishing-report-september-5-2025</t>
        </is>
      </c>
    </row>
    <row r="21" ht="60" customHeight="1">
      <c r="A21" s="10" t="inlineStr">
        <is>
          <t>RV13</t>
        </is>
      </c>
      <c r="B21" s="10" t="inlineStr">
        <is>
          <t>River</t>
        </is>
      </c>
      <c r="C21" s="10" t="inlineStr">
        <is>
          <t>Trout streams / general small streams</t>
        </is>
      </c>
      <c r="D21" s="10" t="inlineStr">
        <is>
          <t>Skagit / Thompson / small streams / estuary-linked creeks</t>
        </is>
      </c>
      <c r="E21" s="10" t="inlineStr">
        <is>
          <t>Rainbow, cutthroat and bull trout in trout streams</t>
        </is>
      </c>
      <c r="F21" s="10" t="inlineStr">
        <is>
          <t>May-Aug</t>
        </is>
      </c>
      <c r="G21" s="10" t="inlineStr">
        <is>
          <t>Sep-Oct, Mar-Apr</t>
        </is>
      </c>
      <c r="H21" s="9" t="inlineStr">
        <is>
          <t>The archive repeatedly framed trout-stream fishing as a shoulder-season and summer option, with additional spring fry windows and fall cutthroat opportunities.</t>
        </is>
      </c>
      <c r="I21" s="9" t="inlineStr">
        <is>
          <t>Ultralight spinning rods with Crocs, rooster tails, Blue Fox spinners and small spoons; natural vs attractor selection based on water clarity and fish mood.</t>
        </is>
      </c>
      <c r="J21" s="9" t="inlineStr">
        <is>
          <t>Dry-dropper, nymphing and streamer fishing in summer; poppers/gurglers and fry/sculpin/minnow patterns in spring; keep presentations light and mobile.</t>
        </is>
      </c>
      <c r="K21" s="9" t="inlineStr">
        <is>
          <t>Hatches, stream temperature, and visibility drive daily success; moving, covering water, and matching either natural or attractor profile is recurring advice.</t>
        </is>
      </c>
      <c r="L21" s="9" t="inlineStr">
        <is>
          <t>Small Lower Mainland and Interior trout streams, Skagit, Thompson where accessible and safe.</t>
        </is>
      </c>
      <c r="M21" s="9" t="inlineStr">
        <is>
          <t>https://www.pacificangler.ca/blogs/learn/pacific-angler-friday-fishing-report-august-2-2024 | https://www.pacificangler.ca/blogs/learn/pacific-angler-friday-fishing-report-march-6-2026 | https://www.pacificangler.ca/blogs/learn/pacific-angler-friday-fishing-report-may-23-2025</t>
        </is>
      </c>
    </row>
    <row r="22" ht="60" customHeight="1">
      <c r="A22" s="11" t="inlineStr">
        <is>
          <t>LK1</t>
        </is>
      </c>
      <c r="B22" s="11" t="inlineStr">
        <is>
          <t>Lake</t>
        </is>
      </c>
      <c r="C22" s="11" t="inlineStr">
        <is>
          <t>Interior lakes</t>
        </is>
      </c>
      <c r="D22" s="11" t="inlineStr">
        <is>
          <t>BC Interior lakes (lower elevation first, then higher elevation lakes)</t>
        </is>
      </c>
      <c r="E22" s="11" t="inlineStr">
        <is>
          <t>Rainbow trout (ice-off / chironomid phase)</t>
        </is>
      </c>
      <c r="F22" s="11" t="inlineStr">
        <is>
          <t>Apr-May</t>
        </is>
      </c>
      <c r="G22" s="11" t="inlineStr">
        <is>
          <t>Late Mar, early Jun</t>
        </is>
      </c>
      <c r="H22" s="9" t="inlineStr">
        <is>
          <t>This was the single strongest stillwater pattern in the archive: lower elevation lakes fire first, then progressively higher lakes.</t>
        </is>
      </c>
      <c r="I22" s="9" t="inlineStr">
        <is>
          <t>Stillwater trout gear was secondary in the reports; fly-focused chironomid systems dominated the recommendations.</t>
        </is>
      </c>
      <c r="J22" s="9" t="inlineStr">
        <is>
          <t>Chironomids under indicators remain the backbone; dark/bright flies and beads vary by lake; boat positioning and electronics were repeatedly emphasized.</t>
        </is>
      </c>
      <c r="K22" s="9" t="inlineStr">
        <is>
          <t>Track ice-off by elevation; lower-elevation lakes may be 3-4 weeks post-ice-off while higher lakes are just turning on in early May.</t>
        </is>
      </c>
      <c r="L22" s="9" t="inlineStr">
        <is>
          <t>Kamloops / Region 3 / Region 5 / Cariboo-style trout lakes.</t>
        </is>
      </c>
      <c r="M22" s="9" t="inlineStr">
        <is>
          <t>https://www.pacificangler.ca/blogs/learn/pacific-angler-friday-fishing-report-april-25-2025 | https://www.pacificangler.ca/blogs/learn/pacific-angler-friday-fishing-report-april-11-2025 | https://www.pacificangler.ca/blogs/learn/pacific-angler-friday-fishing-report-february-27-2026</t>
        </is>
      </c>
    </row>
    <row r="23" ht="60" customHeight="1">
      <c r="A23" s="11" t="inlineStr">
        <is>
          <t>LK2</t>
        </is>
      </c>
      <c r="B23" s="11" t="inlineStr">
        <is>
          <t>Lake</t>
        </is>
      </c>
      <c r="C23" s="11" t="inlineStr">
        <is>
          <t>Interior lakes</t>
        </is>
      </c>
      <c r="D23" s="11" t="inlineStr">
        <is>
          <t>BC Interior lakes</t>
        </is>
      </c>
      <c r="E23" s="11" t="inlineStr">
        <is>
          <t>Rainbow trout (late spring / early summer hatch mix)</t>
        </is>
      </c>
      <c r="F23" s="11" t="inlineStr">
        <is>
          <t>Jun</t>
        </is>
      </c>
      <c r="G23" s="11" t="inlineStr">
        <is>
          <t>Late May, Jul</t>
        </is>
      </c>
      <c r="H23" s="9" t="inlineStr">
        <is>
          <t>By mid-June, many lakes transition from pure chironomid focus to more varied stillwater feeding.</t>
        </is>
      </c>
      <c r="I23" s="9" t="inlineStr">
        <is>
          <t>Trolling/deeper methods become more important in warmer periods; reports referenced sinking lines, deeper retrieves and adapting to lake depth/elevation.</t>
        </is>
      </c>
      <c r="J23" s="9" t="inlineStr">
        <is>
          <t>Leeches, dragons, mayflies, damsels and caddis join or replace chironomids; stripping boobies or leeches becomes a change-up tactic.</t>
        </is>
      </c>
      <c r="K23" s="9" t="inlineStr">
        <is>
          <t>Heat waves can push fish deeper and compress productive windows; keep a detailed journal because lake personalities diverge rapidly.</t>
        </is>
      </c>
      <c r="L23" s="9" t="inlineStr">
        <is>
          <t>Interior lakes across a range of elevations.</t>
        </is>
      </c>
      <c r="M23" s="9" t="inlineStr">
        <is>
          <t>https://www.pacificangler.ca/blogs/learn/pacific-angler-friday-fishing-report-june-11-2021 | https://www.pacificangler.ca/blogs/learn/pacific-angler-friday-fishing-report-june-13-2025</t>
        </is>
      </c>
    </row>
    <row r="24" ht="60" customHeight="1">
      <c r="A24" s="11" t="inlineStr">
        <is>
          <t>LK3</t>
        </is>
      </c>
      <c r="B24" s="11" t="inlineStr">
        <is>
          <t>Lake</t>
        </is>
      </c>
      <c r="C24" s="11" t="inlineStr">
        <is>
          <t>Interior lakes</t>
        </is>
      </c>
      <c r="D24" s="11" t="inlineStr">
        <is>
          <t>BC Interior lakes</t>
        </is>
      </c>
      <c r="E24" s="11" t="inlineStr">
        <is>
          <t>Rainbow trout (late summer / fall)</t>
        </is>
      </c>
      <c r="F24" s="11" t="inlineStr">
        <is>
          <t>Sep-Oct</t>
        </is>
      </c>
      <c r="G24" s="11" t="inlineStr">
        <is>
          <t>Aug, Nov</t>
        </is>
      </c>
      <c r="H24" s="9" t="inlineStr">
        <is>
          <t>Fall can be excellent but highly lake-specific; heat delays turnover, then balanced leeches / chironomids / bloodworms / shrimp / leeches re-emerge as key food forms.</t>
        </is>
      </c>
      <c r="I24" s="9" t="inlineStr">
        <is>
          <t>Deeper presentations and mobility matter during warm periods.</t>
        </is>
      </c>
      <c r="J24" s="9" t="inlineStr">
        <is>
          <t>Balanced leeches in deep water, chironomids where hatches persist, and bloodworm/shrimp/leech patterns during warm-to-cooling transition.</t>
        </is>
      </c>
      <c r="K24" s="9" t="inlineStr">
        <is>
          <t>Target higher elevation lakes first in warm falls; once water cools, shallow and hatch-oriented opportunities improve by lake.</t>
        </is>
      </c>
      <c r="L24" s="9" t="inlineStr">
        <is>
          <t>Kamloops / Merritt / Cariboo / Horsefly-strain trout lakes.</t>
        </is>
      </c>
      <c r="M24" s="9" t="inlineStr">
        <is>
          <t>https://www.pacificangler.ca/blogs/learn/pacific-angler-friday-fishing-report-august-29-2025 | https://www.pacificangler.ca/blogs/learn/pacific-angler-friday-fishing-report-september-12-2025 | https://www.pacificangler.ca/blogs/learn/pacific-angler-friday-fishing-report-september-26-2025</t>
        </is>
      </c>
    </row>
    <row r="25" ht="60" customHeight="1">
      <c r="A25" s="11" t="inlineStr">
        <is>
          <t>LK4</t>
        </is>
      </c>
      <c r="B25" s="11" t="inlineStr">
        <is>
          <t>Lake</t>
        </is>
      </c>
      <c r="C25" s="11" t="inlineStr">
        <is>
          <t>Local stocked lakes</t>
        </is>
      </c>
      <c r="D25" s="11" t="inlineStr">
        <is>
          <t>Lower Mainland stocked lakes</t>
        </is>
      </c>
      <c r="E25" s="11" t="inlineStr">
        <is>
          <t>Stocked rainbow trout</t>
        </is>
      </c>
      <c r="F25" s="11" t="inlineStr">
        <is>
          <t>Feb-Mar</t>
        </is>
      </c>
      <c r="G25" s="11" t="inlineStr">
        <is>
          <t>Apr, Oct-Nov</t>
        </is>
      </c>
      <c r="H25" s="9" t="inlineStr">
        <is>
          <t>Local stocked lakes appear in the archive as accessible early-season or casual option when other fisheries are slow or for new anglers.</t>
        </is>
      </c>
      <c r="I25" s="9" t="inlineStr">
        <is>
          <t>6'6"-8'0" UL-ML rods; 10 lb braid or 6-10 lb mono; lure fishing, bait under a bobber, or suspending bait off bottom.</t>
        </is>
      </c>
      <c r="J25" s="9" t="inlineStr">
        <is>
          <t>4-5 wt with floating line and sink tips; strip woolly buggers or suspend balanced leeches / chrome chironomids under an indicator.</t>
        </is>
      </c>
      <c r="K25" s="9" t="inlineStr">
        <is>
          <t>Stocking timing and weather matter more than hatch complexity.</t>
        </is>
      </c>
      <c r="L25" s="9" t="inlineStr">
        <is>
          <t>Lower Mainland stocked urban/suburban lakes.</t>
        </is>
      </c>
      <c r="M25" s="9" t="inlineStr">
        <is>
          <t>https://www.pacificangler.ca/blogs/learn/pacific-angler-friday-fishing-report-february-20-2026</t>
        </is>
      </c>
    </row>
    <row r="26" ht="60" customHeight="1">
      <c r="A26" s="11" t="inlineStr">
        <is>
          <t>LK5</t>
        </is>
      </c>
      <c r="B26" s="11" t="inlineStr">
        <is>
          <t>Lake</t>
        </is>
      </c>
      <c r="C26" s="11" t="inlineStr">
        <is>
          <t>Warmwater / alternative stillwater</t>
        </is>
      </c>
      <c r="D26" s="11" t="inlineStr">
        <is>
          <t>Local warmwater lakes / carp water</t>
        </is>
      </c>
      <c r="E26" s="11" t="inlineStr">
        <is>
          <t>Carp</t>
        </is>
      </c>
      <c r="F26" s="11" t="inlineStr">
        <is>
          <t>Jul-Aug</t>
        </is>
      </c>
      <c r="G26" s="11" t="inlineStr">
        <is>
          <t>Jun, Sep</t>
        </is>
      </c>
      <c r="H26" s="9" t="inlineStr">
        <is>
          <t>The reports positioned carp as a warm-weather alternative when classic trout-lake fishing slows down.</t>
        </is>
      </c>
      <c r="I26" s="9" t="inlineStr">
        <is>
          <t>Alternative-species stillwater tactics rather than trout tactics; target when warm water makes trout difficult.</t>
        </is>
      </c>
      <c r="J26" s="9" t="inlineStr">
        <is>
          <t>Warmwater fly approaches may apply, but the retrieved evidence emphasized carp primarily as a strategic alternative rather than detailing weekly patterns.</t>
        </is>
      </c>
      <c r="K26" s="9" t="inlineStr">
        <is>
          <t>Best when classic trout lakes are warm and slow.</t>
        </is>
      </c>
      <c r="L26" s="9" t="inlineStr">
        <is>
          <t>Local lakes that hold carp.</t>
        </is>
      </c>
      <c r="M26" s="9" t="inlineStr">
        <is>
          <t>https://www.pacificangler.ca/blogs/learn/pacific-angler-friday-fishing-report-august-16-2024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16" customWidth="1" min="17" max="17"/>
    <col width="18" customWidth="1" min="18" max="18"/>
  </cols>
  <sheetData>
    <row r="1">
      <c r="A1" s="12" t="inlineStr">
        <is>
          <t>ID</t>
        </is>
      </c>
      <c r="B1" s="12" t="inlineStr">
        <is>
          <t>Category</t>
        </is>
      </c>
      <c r="C1" s="12" t="inlineStr">
        <is>
          <t>System / Area</t>
        </is>
      </c>
      <c r="D1" s="12" t="inlineStr">
        <is>
          <t>Species</t>
        </is>
      </c>
      <c r="E1" s="12" t="inlineStr">
        <is>
          <t>Jan</t>
        </is>
      </c>
      <c r="F1" s="12" t="inlineStr">
        <is>
          <t>Feb</t>
        </is>
      </c>
      <c r="G1" s="12" t="inlineStr">
        <is>
          <t>Mar</t>
        </is>
      </c>
      <c r="H1" s="12" t="inlineStr">
        <is>
          <t>Apr</t>
        </is>
      </c>
      <c r="I1" s="12" t="inlineStr">
        <is>
          <t>May</t>
        </is>
      </c>
      <c r="J1" s="12" t="inlineStr">
        <is>
          <t>Jun</t>
        </is>
      </c>
      <c r="K1" s="12" t="inlineStr">
        <is>
          <t>Jul</t>
        </is>
      </c>
      <c r="L1" s="12" t="inlineStr">
        <is>
          <t>Aug</t>
        </is>
      </c>
      <c r="M1" s="12" t="inlineStr">
        <is>
          <t>Sep</t>
        </is>
      </c>
      <c r="N1" s="12" t="inlineStr">
        <is>
          <t>Oct</t>
        </is>
      </c>
      <c r="O1" s="12" t="inlineStr">
        <is>
          <t>Nov</t>
        </is>
      </c>
      <c r="P1" s="12" t="inlineStr">
        <is>
          <t>Dec</t>
        </is>
      </c>
      <c r="Q1" s="12" t="inlineStr">
        <is>
          <t>Primary Months</t>
        </is>
      </c>
      <c r="R1" s="12" t="inlineStr">
        <is>
          <t>Secondary Months</t>
        </is>
      </c>
    </row>
    <row r="2" ht="24" customHeight="1">
      <c r="A2" s="13" t="inlineStr">
        <is>
          <t>OB1</t>
        </is>
      </c>
      <c r="B2" s="13" t="inlineStr">
        <is>
          <t>Ocean - Boat</t>
        </is>
      </c>
      <c r="C2" s="13" t="inlineStr">
        <is>
          <t>Vancouver Harbour / Lower Howe Sound / Gulf Islands / Gabriola</t>
        </is>
      </c>
      <c r="D2" s="13" t="inlineStr">
        <is>
          <t>Chinook salmon (winter)</t>
        </is>
      </c>
      <c r="E2" s="14" t="inlineStr">
        <is>
          <t>P</t>
        </is>
      </c>
      <c r="F2" s="14" t="inlineStr">
        <is>
          <t>P</t>
        </is>
      </c>
      <c r="G2" s="15" t="inlineStr">
        <is>
          <t>S</t>
        </is>
      </c>
      <c r="H2" s="16" t="inlineStr"/>
      <c r="I2" s="16" t="inlineStr"/>
      <c r="J2" s="16" t="inlineStr"/>
      <c r="K2" s="16" t="inlineStr"/>
      <c r="L2" s="16" t="inlineStr"/>
      <c r="M2" s="16" t="inlineStr"/>
      <c r="N2" s="16" t="inlineStr"/>
      <c r="O2" s="15" t="inlineStr">
        <is>
          <t>S</t>
        </is>
      </c>
      <c r="P2" s="14" t="inlineStr">
        <is>
          <t>P</t>
        </is>
      </c>
      <c r="Q2" s="13" t="inlineStr">
        <is>
          <t>Dec-Feb</t>
        </is>
      </c>
      <c r="R2" s="13" t="inlineStr">
        <is>
          <t>Nov, Mar</t>
        </is>
      </c>
    </row>
    <row r="3" ht="24" customHeight="1">
      <c r="A3" s="13" t="inlineStr">
        <is>
          <t>OB2</t>
        </is>
      </c>
      <c r="B3" s="13" t="inlineStr">
        <is>
          <t>Ocean - Boat</t>
        </is>
      </c>
      <c r="C3" s="13" t="inlineStr">
        <is>
          <t>Fraser Mouth / Sandheads / West Van / Area 17 (Gabriola &amp; Entrance)</t>
        </is>
      </c>
      <c r="D3" s="13" t="inlineStr">
        <is>
          <t>Chinook salmon (summer / migratory)</t>
        </is>
      </c>
      <c r="E3" s="16" t="inlineStr"/>
      <c r="F3" s="16" t="inlineStr"/>
      <c r="G3" s="16" t="inlineStr"/>
      <c r="H3" s="16" t="inlineStr"/>
      <c r="I3" s="16" t="inlineStr"/>
      <c r="J3" s="16" t="inlineStr"/>
      <c r="K3" s="14" t="inlineStr">
        <is>
          <t>P</t>
        </is>
      </c>
      <c r="L3" s="14" t="inlineStr">
        <is>
          <t>P</t>
        </is>
      </c>
      <c r="M3" s="14" t="inlineStr">
        <is>
          <t>P</t>
        </is>
      </c>
      <c r="N3" s="15" t="inlineStr">
        <is>
          <t>S</t>
        </is>
      </c>
      <c r="O3" s="16" t="inlineStr"/>
      <c r="P3" s="16" t="inlineStr"/>
      <c r="Q3" s="13" t="inlineStr">
        <is>
          <t>Jul-Sep</t>
        </is>
      </c>
      <c r="R3" s="13" t="inlineStr">
        <is>
          <t>Oct</t>
        </is>
      </c>
    </row>
    <row r="4" ht="24" customHeight="1">
      <c r="A4" s="13" t="inlineStr">
        <is>
          <t>OB3</t>
        </is>
      </c>
      <c r="B4" s="13" t="inlineStr">
        <is>
          <t>Ocean - Boat</t>
        </is>
      </c>
      <c r="C4" s="13" t="inlineStr">
        <is>
          <t>South Bowen / Sunshine Coast / Strait crossings</t>
        </is>
      </c>
      <c r="D4" s="13" t="inlineStr">
        <is>
          <t>Coho salmon (boat troll)</t>
        </is>
      </c>
      <c r="E4" s="16" t="inlineStr"/>
      <c r="F4" s="16" t="inlineStr"/>
      <c r="G4" s="16" t="inlineStr"/>
      <c r="H4" s="16" t="inlineStr"/>
      <c r="I4" s="16" t="inlineStr"/>
      <c r="J4" s="14" t="inlineStr">
        <is>
          <t>P</t>
        </is>
      </c>
      <c r="K4" s="14" t="inlineStr">
        <is>
          <t>P</t>
        </is>
      </c>
      <c r="L4" s="14" t="inlineStr">
        <is>
          <t>P</t>
        </is>
      </c>
      <c r="M4" s="15" t="inlineStr">
        <is>
          <t>S</t>
        </is>
      </c>
      <c r="N4" s="16" t="inlineStr"/>
      <c r="O4" s="16" t="inlineStr"/>
      <c r="P4" s="16" t="inlineStr"/>
      <c r="Q4" s="13" t="inlineStr">
        <is>
          <t>Jun-Aug</t>
        </is>
      </c>
      <c r="R4" s="13" t="inlineStr">
        <is>
          <t>Sep</t>
        </is>
      </c>
    </row>
    <row r="5" ht="24" customHeight="1">
      <c r="A5" s="13" t="inlineStr">
        <is>
          <t>OB4</t>
        </is>
      </c>
      <c r="B5" s="13" t="inlineStr">
        <is>
          <t>Ocean - Boat</t>
        </is>
      </c>
      <c r="C5" s="13" t="inlineStr">
        <is>
          <t>Area 17 / Strait crossings / mixed trips</t>
        </is>
      </c>
      <c r="D5" s="13" t="inlineStr">
        <is>
          <t>Lingcod, rockfish, prawns (secondary mixed targets)</t>
        </is>
      </c>
      <c r="E5" s="16" t="inlineStr"/>
      <c r="F5" s="16" t="inlineStr"/>
      <c r="G5" s="15" t="inlineStr">
        <is>
          <t>S</t>
        </is>
      </c>
      <c r="H5" s="16" t="inlineStr"/>
      <c r="I5" s="16" t="inlineStr"/>
      <c r="J5" s="16" t="inlineStr"/>
      <c r="K5" s="14" t="inlineStr">
        <is>
          <t>P</t>
        </is>
      </c>
      <c r="L5" s="16" t="inlineStr"/>
      <c r="M5" s="16" t="inlineStr"/>
      <c r="N5" s="15" t="inlineStr">
        <is>
          <t>S</t>
        </is>
      </c>
      <c r="O5" s="16" t="inlineStr"/>
      <c r="P5" s="16" t="inlineStr"/>
      <c r="Q5" s="13" t="inlineStr">
        <is>
          <t>Jul-Sep for bottomfish; Dec-Feb for prawns paired with chinook</t>
        </is>
      </c>
      <c r="R5" s="13" t="inlineStr">
        <is>
          <t>Mar, Oct</t>
        </is>
      </c>
    </row>
    <row r="6" ht="24" customHeight="1">
      <c r="A6" s="13" t="inlineStr">
        <is>
          <t>OE1</t>
        </is>
      </c>
      <c r="B6" s="13" t="inlineStr">
        <is>
          <t>Ocean - Beach/Estuary</t>
        </is>
      </c>
      <c r="C6" s="13" t="inlineStr">
        <is>
          <t>Capilano mouth / North Shore beaches / West Van shoreline</t>
        </is>
      </c>
      <c r="D6" s="13" t="inlineStr">
        <is>
          <t>Coho salmon (beach &amp; estuary)</t>
        </is>
      </c>
      <c r="E6" s="16" t="inlineStr"/>
      <c r="F6" s="16" t="inlineStr"/>
      <c r="G6" s="16" t="inlineStr"/>
      <c r="H6" s="16" t="inlineStr"/>
      <c r="I6" s="16" t="inlineStr"/>
      <c r="J6" s="14" t="inlineStr">
        <is>
          <t>P</t>
        </is>
      </c>
      <c r="K6" s="14" t="inlineStr">
        <is>
          <t>P</t>
        </is>
      </c>
      <c r="L6" s="14" t="inlineStr">
        <is>
          <t>P</t>
        </is>
      </c>
      <c r="M6" s="15" t="inlineStr">
        <is>
          <t>S</t>
        </is>
      </c>
      <c r="N6" s="15" t="inlineStr">
        <is>
          <t>S</t>
        </is>
      </c>
      <c r="O6" s="16" t="inlineStr"/>
      <c r="P6" s="16" t="inlineStr"/>
      <c r="Q6" s="13" t="inlineStr">
        <is>
          <t>Jun-Aug</t>
        </is>
      </c>
      <c r="R6" s="13" t="inlineStr">
        <is>
          <t>Sep-Oct</t>
        </is>
      </c>
    </row>
    <row r="7" ht="24" customHeight="1">
      <c r="A7" s="13" t="inlineStr">
        <is>
          <t>OE2</t>
        </is>
      </c>
      <c r="B7" s="13" t="inlineStr">
        <is>
          <t>Ocean - Beach/Estuary</t>
        </is>
      </c>
      <c r="C7" s="13" t="inlineStr">
        <is>
          <t>North Shore beaches / Vancouver beaches</t>
        </is>
      </c>
      <c r="D7" s="13" t="inlineStr">
        <is>
          <t>Pink salmon (beach, odd-year pattern)</t>
        </is>
      </c>
      <c r="E7" s="16" t="inlineStr"/>
      <c r="F7" s="16" t="inlineStr"/>
      <c r="G7" s="16" t="inlineStr"/>
      <c r="H7" s="16" t="inlineStr"/>
      <c r="I7" s="16" t="inlineStr"/>
      <c r="J7" s="16" t="inlineStr"/>
      <c r="K7" s="14" t="inlineStr">
        <is>
          <t>P</t>
        </is>
      </c>
      <c r="L7" s="14" t="inlineStr">
        <is>
          <t>P</t>
        </is>
      </c>
      <c r="M7" s="15" t="inlineStr">
        <is>
          <t>S</t>
        </is>
      </c>
      <c r="N7" s="16" t="inlineStr"/>
      <c r="O7" s="16" t="inlineStr"/>
      <c r="P7" s="16" t="inlineStr"/>
      <c r="Q7" s="13" t="inlineStr">
        <is>
          <t>Jul-Aug</t>
        </is>
      </c>
      <c r="R7" s="13" t="inlineStr">
        <is>
          <t>Sep</t>
        </is>
      </c>
    </row>
    <row r="8" ht="24" customHeight="1">
      <c r="A8" s="13" t="inlineStr">
        <is>
          <t>OE3</t>
        </is>
      </c>
      <c r="B8" s="13" t="inlineStr">
        <is>
          <t>Ocean - Beach/Estuary</t>
        </is>
      </c>
      <c r="C8" s="13" t="inlineStr">
        <is>
          <t>Estuaries, Fraser tributary mouths, North Vancouver beaches, Blackie Spit</t>
        </is>
      </c>
      <c r="D8" s="13" t="inlineStr">
        <is>
          <t>Sea-run cutthroat trout</t>
        </is>
      </c>
      <c r="E8" s="16" t="inlineStr"/>
      <c r="F8" s="15" t="inlineStr">
        <is>
          <t>S</t>
        </is>
      </c>
      <c r="G8" s="14" t="inlineStr">
        <is>
          <t>P</t>
        </is>
      </c>
      <c r="H8" s="14" t="inlineStr">
        <is>
          <t>P</t>
        </is>
      </c>
      <c r="I8" s="14" t="inlineStr">
        <is>
          <t>P</t>
        </is>
      </c>
      <c r="J8" s="15" t="inlineStr">
        <is>
          <t>S</t>
        </is>
      </c>
      <c r="K8" s="16" t="inlineStr"/>
      <c r="L8" s="16" t="inlineStr"/>
      <c r="M8" s="16" t="inlineStr"/>
      <c r="N8" s="16" t="inlineStr"/>
      <c r="O8" s="16" t="inlineStr"/>
      <c r="P8" s="16" t="inlineStr"/>
      <c r="Q8" s="13" t="inlineStr">
        <is>
          <t>Mar-May</t>
        </is>
      </c>
      <c r="R8" s="13" t="inlineStr">
        <is>
          <t>Feb, Jun</t>
        </is>
      </c>
    </row>
    <row r="9" ht="24" customHeight="1">
      <c r="A9" s="13" t="inlineStr">
        <is>
          <t>RV1</t>
        </is>
      </c>
      <c r="B9" s="13" t="inlineStr">
        <is>
          <t>River - Vedder/Chilliwack</t>
        </is>
      </c>
      <c r="C9" s="13" t="inlineStr">
        <is>
          <t>Vedder / Chilliwack River</t>
        </is>
      </c>
      <c r="D9" s="13" t="inlineStr">
        <is>
          <t>Steelhead</t>
        </is>
      </c>
      <c r="E9" s="14" t="inlineStr">
        <is>
          <t>P</t>
        </is>
      </c>
      <c r="F9" s="14" t="inlineStr">
        <is>
          <t>P</t>
        </is>
      </c>
      <c r="G9" s="14" t="inlineStr">
        <is>
          <t>P</t>
        </is>
      </c>
      <c r="H9" s="15" t="inlineStr">
        <is>
          <t>S</t>
        </is>
      </c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S</t>
        </is>
      </c>
      <c r="Q9" s="13" t="inlineStr">
        <is>
          <t>Jan-Mar</t>
        </is>
      </c>
      <c r="R9" s="13" t="inlineStr">
        <is>
          <t>Dec, Apr</t>
        </is>
      </c>
    </row>
    <row r="10" ht="24" customHeight="1">
      <c r="A10" s="13" t="inlineStr">
        <is>
          <t>RV2</t>
        </is>
      </c>
      <c r="B10" s="13" t="inlineStr">
        <is>
          <t>River - Vedder/Chilliwack</t>
        </is>
      </c>
      <c r="C10" s="13" t="inlineStr">
        <is>
          <t>Vedder / Chilliwack River</t>
        </is>
      </c>
      <c r="D10" s="13" t="inlineStr">
        <is>
          <t>Summer chinook</t>
        </is>
      </c>
      <c r="E10" s="16" t="inlineStr"/>
      <c r="F10" s="16" t="inlineStr"/>
      <c r="G10" s="16" t="inlineStr"/>
      <c r="H10" s="16" t="inlineStr"/>
      <c r="I10" s="16" t="inlineStr"/>
      <c r="J10" s="16" t="inlineStr"/>
      <c r="K10" s="14" t="inlineStr">
        <is>
          <t>P</t>
        </is>
      </c>
      <c r="L10" s="15" t="inlineStr">
        <is>
          <t>S</t>
        </is>
      </c>
      <c r="M10" s="16" t="inlineStr"/>
      <c r="N10" s="16" t="inlineStr"/>
      <c r="O10" s="16" t="inlineStr"/>
      <c r="P10" s="16" t="inlineStr"/>
      <c r="Q10" s="13" t="inlineStr">
        <is>
          <t>Jul</t>
        </is>
      </c>
      <c r="R10" s="13" t="inlineStr">
        <is>
          <t>Aug</t>
        </is>
      </c>
    </row>
    <row r="11" ht="24" customHeight="1">
      <c r="A11" s="13" t="inlineStr">
        <is>
          <t>RV3</t>
        </is>
      </c>
      <c r="B11" s="13" t="inlineStr">
        <is>
          <t>River - Vedder/Chilliwack</t>
        </is>
      </c>
      <c r="C11" s="13" t="inlineStr">
        <is>
          <t>Vedder / Chilliwack River</t>
        </is>
      </c>
      <c r="D11" s="13" t="inlineStr">
        <is>
          <t>Fall chinook and coho</t>
        </is>
      </c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5" t="inlineStr">
        <is>
          <t>S</t>
        </is>
      </c>
      <c r="M11" s="14" t="inlineStr">
        <is>
          <t>P</t>
        </is>
      </c>
      <c r="N11" s="14" t="inlineStr">
        <is>
          <t>P</t>
        </is>
      </c>
      <c r="O11" s="15" t="inlineStr">
        <is>
          <t>S</t>
        </is>
      </c>
      <c r="P11" s="16" t="inlineStr"/>
      <c r="Q11" s="13" t="inlineStr">
        <is>
          <t>Sep-Oct</t>
        </is>
      </c>
      <c r="R11" s="13" t="inlineStr">
        <is>
          <t>Aug, Nov</t>
        </is>
      </c>
    </row>
    <row r="12" ht="24" customHeight="1">
      <c r="A12" s="13" t="inlineStr">
        <is>
          <t>RV4</t>
        </is>
      </c>
      <c r="B12" s="13" t="inlineStr">
        <is>
          <t>River - Vedder/Chilliwack</t>
        </is>
      </c>
      <c r="C12" s="13" t="inlineStr">
        <is>
          <t>Vedder / Chilliwack River</t>
        </is>
      </c>
      <c r="D12" s="13" t="inlineStr">
        <is>
          <t>Chum salmon</t>
        </is>
      </c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5" t="inlineStr">
        <is>
          <t>S</t>
        </is>
      </c>
      <c r="N12" s="14" t="inlineStr">
        <is>
          <t>P</t>
        </is>
      </c>
      <c r="O12" s="14" t="inlineStr">
        <is>
          <t>P</t>
        </is>
      </c>
      <c r="P12" s="15" t="inlineStr">
        <is>
          <t>S</t>
        </is>
      </c>
      <c r="Q12" s="13" t="inlineStr">
        <is>
          <t>Oct-Nov</t>
        </is>
      </c>
      <c r="R12" s="13" t="inlineStr">
        <is>
          <t>Sep, Dec</t>
        </is>
      </c>
    </row>
    <row r="13" ht="24" customHeight="1">
      <c r="A13" s="13" t="inlineStr">
        <is>
          <t>RV5</t>
        </is>
      </c>
      <c r="B13" s="13" t="inlineStr">
        <is>
          <t>River - Squamish / Sea-to-Sky</t>
        </is>
      </c>
      <c r="C13" s="13" t="inlineStr">
        <is>
          <t>Squamish main stem and tributaries / Sea-to-Sky corridor</t>
        </is>
      </c>
      <c r="D13" s="13" t="inlineStr">
        <is>
          <t>Bull trout, rainbows, cutthroat (spring fry fishery)</t>
        </is>
      </c>
      <c r="E13" s="16" t="inlineStr"/>
      <c r="F13" s="15" t="inlineStr">
        <is>
          <t>S</t>
        </is>
      </c>
      <c r="G13" s="14" t="inlineStr">
        <is>
          <t>P</t>
        </is>
      </c>
      <c r="H13" s="14" t="inlineStr">
        <is>
          <t>P</t>
        </is>
      </c>
      <c r="I13" s="14" t="inlineStr">
        <is>
          <t>P</t>
        </is>
      </c>
      <c r="J13" s="15" t="inlineStr">
        <is>
          <t>S</t>
        </is>
      </c>
      <c r="K13" s="16" t="inlineStr"/>
      <c r="L13" s="16" t="inlineStr"/>
      <c r="M13" s="16" t="inlineStr"/>
      <c r="N13" s="16" t="inlineStr"/>
      <c r="O13" s="16" t="inlineStr"/>
      <c r="P13" s="16" t="inlineStr"/>
      <c r="Q13" s="13" t="inlineStr">
        <is>
          <t>Mar-May</t>
        </is>
      </c>
      <c r="R13" s="13" t="inlineStr">
        <is>
          <t>Feb, Jun</t>
        </is>
      </c>
    </row>
    <row r="14" ht="24" customHeight="1">
      <c r="A14" s="13" t="inlineStr">
        <is>
          <t>RV6</t>
        </is>
      </c>
      <c r="B14" s="13" t="inlineStr">
        <is>
          <t>River - Squamish / Sea-to-Sky</t>
        </is>
      </c>
      <c r="C14" s="13" t="inlineStr">
        <is>
          <t>Squamish main stem and tributaries / Sea-to-Sky corridor</t>
        </is>
      </c>
      <c r="D14" s="13" t="inlineStr">
        <is>
          <t>Coho and pink salmon (plus mixed char/trout)</t>
        </is>
      </c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5" t="inlineStr">
        <is>
          <t>S</t>
        </is>
      </c>
      <c r="M14" s="14" t="inlineStr">
        <is>
          <t>P</t>
        </is>
      </c>
      <c r="N14" s="14" t="inlineStr">
        <is>
          <t>P</t>
        </is>
      </c>
      <c r="O14" s="15" t="inlineStr">
        <is>
          <t>S</t>
        </is>
      </c>
      <c r="P14" s="16" t="inlineStr"/>
      <c r="Q14" s="13" t="inlineStr">
        <is>
          <t>Sep-Oct</t>
        </is>
      </c>
      <c r="R14" s="13" t="inlineStr">
        <is>
          <t>Aug, Nov</t>
        </is>
      </c>
    </row>
    <row r="15" ht="24" customHeight="1">
      <c r="A15" s="13" t="inlineStr">
        <is>
          <t>RV7</t>
        </is>
      </c>
      <c r="B15" s="13" t="inlineStr">
        <is>
          <t>River - Squamish / Sea-to-Sky</t>
        </is>
      </c>
      <c r="C15" s="13" t="inlineStr">
        <is>
          <t>Sea-to-Sky corridor</t>
        </is>
      </c>
      <c r="D15" s="13" t="inlineStr">
        <is>
          <t>Bull trout / egg-eaters (late fall to winter)</t>
        </is>
      </c>
      <c r="E15" s="15" t="inlineStr">
        <is>
          <t>S</t>
        </is>
      </c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4" t="inlineStr">
        <is>
          <t>P</t>
        </is>
      </c>
      <c r="P15" s="14" t="inlineStr">
        <is>
          <t>P</t>
        </is>
      </c>
      <c r="Q15" s="13" t="inlineStr">
        <is>
          <t>Nov-Dec</t>
        </is>
      </c>
      <c r="R15" s="13" t="inlineStr">
        <is>
          <t>Jan</t>
        </is>
      </c>
    </row>
    <row r="16" ht="24" customHeight="1">
      <c r="A16" s="13" t="inlineStr">
        <is>
          <t>RV8</t>
        </is>
      </c>
      <c r="B16" s="13" t="inlineStr">
        <is>
          <t>River - Harrison / North-side systems</t>
        </is>
      </c>
      <c r="C16" s="13" t="inlineStr">
        <is>
          <t>Harrison River, sloughs, tributaries, north-side Fraser systems</t>
        </is>
      </c>
      <c r="D16" s="13" t="inlineStr">
        <is>
          <t>Coho and chum salmon</t>
        </is>
      </c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5" t="inlineStr">
        <is>
          <t>S</t>
        </is>
      </c>
      <c r="N16" s="14" t="inlineStr">
        <is>
          <t>P</t>
        </is>
      </c>
      <c r="O16" s="14" t="inlineStr">
        <is>
          <t>P</t>
        </is>
      </c>
      <c r="P16" s="15" t="inlineStr">
        <is>
          <t>S</t>
        </is>
      </c>
      <c r="Q16" s="13" t="inlineStr">
        <is>
          <t>Oct-Nov</t>
        </is>
      </c>
      <c r="R16" s="13" t="inlineStr">
        <is>
          <t>Sep, Dec</t>
        </is>
      </c>
    </row>
    <row r="17" ht="24" customHeight="1">
      <c r="A17" s="13" t="inlineStr">
        <is>
          <t>RV9</t>
        </is>
      </c>
      <c r="B17" s="13" t="inlineStr">
        <is>
          <t>River - Harrison / North-side systems</t>
        </is>
      </c>
      <c r="C17" s="13" t="inlineStr">
        <is>
          <t>Harrison / lower Fraser confluence area</t>
        </is>
      </c>
      <c r="D17" s="13" t="inlineStr">
        <is>
          <t>Early staging salmon / boat intercept fishery</t>
        </is>
      </c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4" t="inlineStr">
        <is>
          <t>P</t>
        </is>
      </c>
      <c r="N17" s="15" t="inlineStr">
        <is>
          <t>S</t>
        </is>
      </c>
      <c r="O17" s="16" t="inlineStr"/>
      <c r="P17" s="16" t="inlineStr"/>
      <c r="Q17" s="13" t="inlineStr">
        <is>
          <t>Sep</t>
        </is>
      </c>
      <c r="R17" s="13" t="inlineStr">
        <is>
          <t>Oct</t>
        </is>
      </c>
    </row>
    <row r="18" ht="24" customHeight="1">
      <c r="A18" s="13" t="inlineStr">
        <is>
          <t>RV10</t>
        </is>
      </c>
      <c r="B18" s="13" t="inlineStr">
        <is>
          <t>River - Capilano</t>
        </is>
      </c>
      <c r="C18" s="13" t="inlineStr">
        <is>
          <t>Capilano River and mouth</t>
        </is>
      </c>
      <c r="D18" s="13" t="inlineStr">
        <is>
          <t>Coho and chinook salmon (river / mouth)</t>
        </is>
      </c>
      <c r="E18" s="16" t="inlineStr"/>
      <c r="F18" s="16" t="inlineStr"/>
      <c r="G18" s="16" t="inlineStr"/>
      <c r="H18" s="16" t="inlineStr"/>
      <c r="I18" s="16" t="inlineStr"/>
      <c r="J18" s="14" t="inlineStr">
        <is>
          <t>P</t>
        </is>
      </c>
      <c r="K18" s="14" t="inlineStr">
        <is>
          <t>P</t>
        </is>
      </c>
      <c r="L18" s="14" t="inlineStr">
        <is>
          <t>P</t>
        </is>
      </c>
      <c r="M18" s="15" t="inlineStr">
        <is>
          <t>S</t>
        </is>
      </c>
      <c r="N18" s="15" t="inlineStr">
        <is>
          <t>S</t>
        </is>
      </c>
      <c r="O18" s="16" t="inlineStr"/>
      <c r="P18" s="16" t="inlineStr"/>
      <c r="Q18" s="13" t="inlineStr">
        <is>
          <t>Jun-Aug</t>
        </is>
      </c>
      <c r="R18" s="13" t="inlineStr">
        <is>
          <t>Sep-Oct</t>
        </is>
      </c>
    </row>
    <row r="19" ht="24" customHeight="1">
      <c r="A19" s="13" t="inlineStr">
        <is>
          <t>RV11</t>
        </is>
      </c>
      <c r="B19" s="13" t="inlineStr">
        <is>
          <t>River - Stave</t>
        </is>
      </c>
      <c r="C19" s="13" t="inlineStr">
        <is>
          <t>Stave River</t>
        </is>
      </c>
      <c r="D19" s="13" t="inlineStr">
        <is>
          <t>Winter steelhead (backup / stable-flow option) plus cutthroat/whitefish</t>
        </is>
      </c>
      <c r="E19" s="14" t="inlineStr">
        <is>
          <t>P</t>
        </is>
      </c>
      <c r="F19" s="14" t="inlineStr">
        <is>
          <t>P</t>
        </is>
      </c>
      <c r="G19" s="15" t="inlineStr">
        <is>
          <t>S</t>
        </is>
      </c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3" t="inlineStr">
        <is>
          <t>Jan-Feb</t>
        </is>
      </c>
      <c r="R19" s="13" t="inlineStr">
        <is>
          <t>Mar</t>
        </is>
      </c>
    </row>
    <row r="20" ht="24" customHeight="1">
      <c r="A20" s="13" t="inlineStr">
        <is>
          <t>RV12</t>
        </is>
      </c>
      <c r="B20" s="13" t="inlineStr">
        <is>
          <t>River - Lower Fraser</t>
        </is>
      </c>
      <c r="C20" s="13" t="inlineStr">
        <is>
          <t>Lower Fraser River</t>
        </is>
      </c>
      <c r="D20" s="13" t="inlineStr">
        <is>
          <t>White sturgeon</t>
        </is>
      </c>
      <c r="E20" s="16" t="inlineStr"/>
      <c r="F20" s="16" t="inlineStr"/>
      <c r="G20" s="16" t="inlineStr"/>
      <c r="H20" s="16" t="inlineStr"/>
      <c r="I20" s="16" t="inlineStr"/>
      <c r="J20" s="15" t="inlineStr">
        <is>
          <t>S</t>
        </is>
      </c>
      <c r="K20" s="15" t="inlineStr">
        <is>
          <t>S</t>
        </is>
      </c>
      <c r="L20" s="14" t="inlineStr">
        <is>
          <t>P</t>
        </is>
      </c>
      <c r="M20" s="14" t="inlineStr">
        <is>
          <t>P</t>
        </is>
      </c>
      <c r="N20" s="15" t="inlineStr">
        <is>
          <t>S</t>
        </is>
      </c>
      <c r="O20" s="16" t="inlineStr"/>
      <c r="P20" s="16" t="inlineStr"/>
      <c r="Q20" s="13" t="inlineStr">
        <is>
          <t>Aug-Sep</t>
        </is>
      </c>
      <c r="R20" s="13" t="inlineStr">
        <is>
          <t>Jun-Jul, Oct</t>
        </is>
      </c>
    </row>
    <row r="21" ht="24" customHeight="1">
      <c r="A21" s="13" t="inlineStr">
        <is>
          <t>RV13</t>
        </is>
      </c>
      <c r="B21" s="13" t="inlineStr">
        <is>
          <t>River - Trout streams / general small streams</t>
        </is>
      </c>
      <c r="C21" s="13" t="inlineStr">
        <is>
          <t>Skagit / Thompson / small streams / estuary-linked creeks</t>
        </is>
      </c>
      <c r="D21" s="13" t="inlineStr">
        <is>
          <t>Rainbow, cutthroat and bull trout in trout streams</t>
        </is>
      </c>
      <c r="E21" s="16" t="inlineStr"/>
      <c r="F21" s="16" t="inlineStr"/>
      <c r="G21" s="15" t="inlineStr">
        <is>
          <t>S</t>
        </is>
      </c>
      <c r="H21" s="15" t="inlineStr">
        <is>
          <t>S</t>
        </is>
      </c>
      <c r="I21" s="14" t="inlineStr">
        <is>
          <t>P</t>
        </is>
      </c>
      <c r="J21" s="14" t="inlineStr">
        <is>
          <t>P</t>
        </is>
      </c>
      <c r="K21" s="14" t="inlineStr">
        <is>
          <t>P</t>
        </is>
      </c>
      <c r="L21" s="14" t="inlineStr">
        <is>
          <t>P</t>
        </is>
      </c>
      <c r="M21" s="15" t="inlineStr">
        <is>
          <t>S</t>
        </is>
      </c>
      <c r="N21" s="15" t="inlineStr">
        <is>
          <t>S</t>
        </is>
      </c>
      <c r="O21" s="16" t="inlineStr"/>
      <c r="P21" s="16" t="inlineStr"/>
      <c r="Q21" s="13" t="inlineStr">
        <is>
          <t>May-Aug</t>
        </is>
      </c>
      <c r="R21" s="13" t="inlineStr">
        <is>
          <t>Sep-Oct, Mar-Apr</t>
        </is>
      </c>
    </row>
    <row r="22" ht="24" customHeight="1">
      <c r="A22" s="13" t="inlineStr">
        <is>
          <t>LK1</t>
        </is>
      </c>
      <c r="B22" s="13" t="inlineStr">
        <is>
          <t>Lake - Interior lakes</t>
        </is>
      </c>
      <c r="C22" s="13" t="inlineStr">
        <is>
          <t>BC Interior lakes (lower elevation first, then higher elevation lakes)</t>
        </is>
      </c>
      <c r="D22" s="13" t="inlineStr">
        <is>
          <t>Rainbow trout (ice-off / chironomid phase)</t>
        </is>
      </c>
      <c r="E22" s="16" t="inlineStr"/>
      <c r="F22" s="16" t="inlineStr"/>
      <c r="G22" s="15" t="inlineStr">
        <is>
          <t>S</t>
        </is>
      </c>
      <c r="H22" s="14" t="inlineStr">
        <is>
          <t>P</t>
        </is>
      </c>
      <c r="I22" s="14" t="inlineStr">
        <is>
          <t>P</t>
        </is>
      </c>
      <c r="J22" s="15" t="inlineStr">
        <is>
          <t>S</t>
        </is>
      </c>
      <c r="K22" s="16" t="inlineStr"/>
      <c r="L22" s="16" t="inlineStr"/>
      <c r="M22" s="16" t="inlineStr"/>
      <c r="N22" s="16" t="inlineStr"/>
      <c r="O22" s="16" t="inlineStr"/>
      <c r="P22" s="16" t="inlineStr"/>
      <c r="Q22" s="13" t="inlineStr">
        <is>
          <t>Apr-May</t>
        </is>
      </c>
      <c r="R22" s="13" t="inlineStr">
        <is>
          <t>Late Mar, early Jun</t>
        </is>
      </c>
    </row>
    <row r="23" ht="24" customHeight="1">
      <c r="A23" s="13" t="inlineStr">
        <is>
          <t>LK2</t>
        </is>
      </c>
      <c r="B23" s="13" t="inlineStr">
        <is>
          <t>Lake - Interior lakes</t>
        </is>
      </c>
      <c r="C23" s="13" t="inlineStr">
        <is>
          <t>BC Interior lakes</t>
        </is>
      </c>
      <c r="D23" s="13" t="inlineStr">
        <is>
          <t>Rainbow trout (late spring / early summer hatch mix)</t>
        </is>
      </c>
      <c r="E23" s="16" t="inlineStr"/>
      <c r="F23" s="16" t="inlineStr"/>
      <c r="G23" s="16" t="inlineStr"/>
      <c r="H23" s="16" t="inlineStr"/>
      <c r="I23" s="15" t="inlineStr">
        <is>
          <t>S</t>
        </is>
      </c>
      <c r="J23" s="14" t="inlineStr">
        <is>
          <t>P</t>
        </is>
      </c>
      <c r="K23" s="15" t="inlineStr">
        <is>
          <t>S</t>
        </is>
      </c>
      <c r="L23" s="16" t="inlineStr"/>
      <c r="M23" s="16" t="inlineStr"/>
      <c r="N23" s="16" t="inlineStr"/>
      <c r="O23" s="16" t="inlineStr"/>
      <c r="P23" s="16" t="inlineStr"/>
      <c r="Q23" s="13" t="inlineStr">
        <is>
          <t>Jun</t>
        </is>
      </c>
      <c r="R23" s="13" t="inlineStr">
        <is>
          <t>Late May, Jul</t>
        </is>
      </c>
    </row>
    <row r="24" ht="24" customHeight="1">
      <c r="A24" s="13" t="inlineStr">
        <is>
          <t>LK3</t>
        </is>
      </c>
      <c r="B24" s="13" t="inlineStr">
        <is>
          <t>Lake - Interior lakes</t>
        </is>
      </c>
      <c r="C24" s="13" t="inlineStr">
        <is>
          <t>BC Interior lakes</t>
        </is>
      </c>
      <c r="D24" s="13" t="inlineStr">
        <is>
          <t>Rainbow trout (late summer / fall)</t>
        </is>
      </c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5" t="inlineStr">
        <is>
          <t>S</t>
        </is>
      </c>
      <c r="M24" s="14" t="inlineStr">
        <is>
          <t>P</t>
        </is>
      </c>
      <c r="N24" s="14" t="inlineStr">
        <is>
          <t>P</t>
        </is>
      </c>
      <c r="O24" s="15" t="inlineStr">
        <is>
          <t>S</t>
        </is>
      </c>
      <c r="P24" s="16" t="inlineStr"/>
      <c r="Q24" s="13" t="inlineStr">
        <is>
          <t>Sep-Oct</t>
        </is>
      </c>
      <c r="R24" s="13" t="inlineStr">
        <is>
          <t>Aug, Nov</t>
        </is>
      </c>
    </row>
    <row r="25" ht="24" customHeight="1">
      <c r="A25" s="13" t="inlineStr">
        <is>
          <t>LK4</t>
        </is>
      </c>
      <c r="B25" s="13" t="inlineStr">
        <is>
          <t>Lake - Local stocked lakes</t>
        </is>
      </c>
      <c r="C25" s="13" t="inlineStr">
        <is>
          <t>Lower Mainland stocked lakes</t>
        </is>
      </c>
      <c r="D25" s="13" t="inlineStr">
        <is>
          <t>Stocked rainbow trout</t>
        </is>
      </c>
      <c r="E25" s="16" t="inlineStr"/>
      <c r="F25" s="14" t="inlineStr">
        <is>
          <t>P</t>
        </is>
      </c>
      <c r="G25" s="14" t="inlineStr">
        <is>
          <t>P</t>
        </is>
      </c>
      <c r="H25" s="15" t="inlineStr">
        <is>
          <t>S</t>
        </is>
      </c>
      <c r="I25" s="16" t="inlineStr"/>
      <c r="J25" s="16" t="inlineStr"/>
      <c r="K25" s="16" t="inlineStr"/>
      <c r="L25" s="16" t="inlineStr"/>
      <c r="M25" s="16" t="inlineStr"/>
      <c r="N25" s="15" t="inlineStr">
        <is>
          <t>S</t>
        </is>
      </c>
      <c r="O25" s="15" t="inlineStr">
        <is>
          <t>S</t>
        </is>
      </c>
      <c r="P25" s="16" t="inlineStr"/>
      <c r="Q25" s="13" t="inlineStr">
        <is>
          <t>Feb-Mar</t>
        </is>
      </c>
      <c r="R25" s="13" t="inlineStr">
        <is>
          <t>Apr, Oct-Nov</t>
        </is>
      </c>
    </row>
    <row r="26" ht="24" customHeight="1">
      <c r="A26" s="13" t="inlineStr">
        <is>
          <t>LK5</t>
        </is>
      </c>
      <c r="B26" s="13" t="inlineStr">
        <is>
          <t>Lake - Warmwater / alternative stillwater</t>
        </is>
      </c>
      <c r="C26" s="13" t="inlineStr">
        <is>
          <t>Local warmwater lakes / carp water</t>
        </is>
      </c>
      <c r="D26" s="13" t="inlineStr">
        <is>
          <t>Carp</t>
        </is>
      </c>
      <c r="E26" s="16" t="inlineStr"/>
      <c r="F26" s="16" t="inlineStr"/>
      <c r="G26" s="16" t="inlineStr"/>
      <c r="H26" s="16" t="inlineStr"/>
      <c r="I26" s="16" t="inlineStr"/>
      <c r="J26" s="15" t="inlineStr">
        <is>
          <t>S</t>
        </is>
      </c>
      <c r="K26" s="14" t="inlineStr">
        <is>
          <t>P</t>
        </is>
      </c>
      <c r="L26" s="14" t="inlineStr">
        <is>
          <t>P</t>
        </is>
      </c>
      <c r="M26" s="15" t="inlineStr">
        <is>
          <t>S</t>
        </is>
      </c>
      <c r="N26" s="16" t="inlineStr"/>
      <c r="O26" s="16" t="inlineStr"/>
      <c r="P26" s="16" t="inlineStr"/>
      <c r="Q26" s="13" t="inlineStr">
        <is>
          <t>Jul-Aug</t>
        </is>
      </c>
      <c r="R26" s="13" t="inlineStr">
        <is>
          <t>Jun, Sep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18" customWidth="1" min="4" max="4"/>
    <col width="44" customWidth="1" min="5" max="5"/>
    <col width="38" customWidth="1" min="6" max="6"/>
  </cols>
  <sheetData>
    <row r="1">
      <c r="A1" s="17" t="inlineStr">
        <is>
          <t>Date</t>
        </is>
      </c>
      <c r="B1" s="17" t="inlineStr">
        <is>
          <t>Title</t>
        </is>
      </c>
      <c r="C1" s="17" t="inlineStr">
        <is>
          <t>URL</t>
        </is>
      </c>
      <c r="D1" s="17" t="inlineStr">
        <is>
          <t>Broad Categories</t>
        </is>
      </c>
      <c r="E1" s="17" t="inlineStr">
        <is>
          <t>Systems / Areas</t>
        </is>
      </c>
      <c r="F1" s="17" t="inlineStr">
        <is>
          <t>Themes</t>
        </is>
      </c>
    </row>
    <row r="2" ht="36" customHeight="1">
      <c r="A2" s="18" t="n">
        <v>44218</v>
      </c>
      <c r="B2" s="9" t="inlineStr">
        <is>
          <t>Pacific Angler Friday Fishing Report: January 22 2021</t>
        </is>
      </c>
      <c r="C2" s="19" t="inlineStr">
        <is>
          <t>https://www.pacificangler.ca/blogs/learn/pacific-angler-friday-fishing-report-january-22-2021</t>
        </is>
      </c>
      <c r="D2" s="9" t="inlineStr">
        <is>
          <t>River</t>
        </is>
      </c>
      <c r="E2" s="9" t="inlineStr">
        <is>
          <t>Stave River</t>
        </is>
      </c>
      <c r="F2" s="9" t="inlineStr">
        <is>
          <t>Winter steelhead (backup / stable-flow option) plus cutthroat/whitefish</t>
        </is>
      </c>
    </row>
    <row r="3" ht="36" customHeight="1">
      <c r="A3" s="18" t="n">
        <v>44239</v>
      </c>
      <c r="B3" s="9" t="inlineStr">
        <is>
          <t>Pacific Angler Friday Fishing Report: February 12 2021</t>
        </is>
      </c>
      <c r="C3" s="19" t="inlineStr">
        <is>
          <t>https://www.pacificangler.ca/blogs/learn/pacific-angler-friday-fishing-report-february-12-2021</t>
        </is>
      </c>
      <c r="D3" s="9" t="inlineStr">
        <is>
          <t>River</t>
        </is>
      </c>
      <c r="E3" s="9" t="inlineStr">
        <is>
          <t>Stave River; Vedder / Chilliwack River</t>
        </is>
      </c>
      <c r="F3" s="9" t="inlineStr">
        <is>
          <t>Steelhead; Winter steelhead (backup / stable-flow option) plus cutthroat/whitefish</t>
        </is>
      </c>
    </row>
    <row r="4" ht="36" customHeight="1">
      <c r="A4" s="18" t="n">
        <v>44253</v>
      </c>
      <c r="B4" s="9" t="inlineStr">
        <is>
          <t>Pacific Angler Friday Fishing Report: February 26 2021</t>
        </is>
      </c>
      <c r="C4" s="19" t="inlineStr">
        <is>
          <t>https://www.pacificangler.ca/blogs/learn/pacific-angler-friday-fishing-report-february-26-2021</t>
        </is>
      </c>
      <c r="D4" s="9" t="inlineStr">
        <is>
          <t>Ocean; River</t>
        </is>
      </c>
      <c r="E4" s="9" t="inlineStr">
        <is>
          <t>Vancouver Harbour / Lower Howe Sound / Gulf Islands / Gabriola; Vedder / Chilliwack River</t>
        </is>
      </c>
      <c r="F4" s="9" t="inlineStr">
        <is>
          <t>Chinook salmon (winter); Steelhead</t>
        </is>
      </c>
    </row>
    <row r="5" ht="36" customHeight="1">
      <c r="A5" s="18" t="n">
        <v>44358</v>
      </c>
      <c r="B5" s="9" t="inlineStr">
        <is>
          <t>Pacific Angler Friday Fishing Report: June 11 2021</t>
        </is>
      </c>
      <c r="C5" s="19" t="inlineStr">
        <is>
          <t>https://www.pacificangler.ca/blogs/learn/pacific-angler-friday-fishing-report-june-11-2021</t>
        </is>
      </c>
      <c r="D5" s="9" t="inlineStr">
        <is>
          <t>Lake</t>
        </is>
      </c>
      <c r="E5" s="9" t="inlineStr">
        <is>
          <t>BC Interior lakes</t>
        </is>
      </c>
      <c r="F5" s="9" t="inlineStr">
        <is>
          <t>Rainbow trout (late spring / early summer hatch mix)</t>
        </is>
      </c>
    </row>
    <row r="6" ht="36" customHeight="1">
      <c r="A6" s="18" t="n">
        <v>44386</v>
      </c>
      <c r="B6" s="9" t="inlineStr">
        <is>
          <t>Pacific Angler Friday Fishing Report: July 9 2021</t>
        </is>
      </c>
      <c r="C6" s="19" t="inlineStr">
        <is>
          <t>https://www.pacificangler.ca/blogs/learn/pacific-angler-friday-fishing-report-july-9-2021</t>
        </is>
      </c>
      <c r="D6" s="9" t="inlineStr">
        <is>
          <t>River</t>
        </is>
      </c>
      <c r="E6" s="9" t="inlineStr">
        <is>
          <t>Capilano River and mouth</t>
        </is>
      </c>
      <c r="F6" s="9" t="inlineStr">
        <is>
          <t>Coho and chinook salmon (river / mouth)</t>
        </is>
      </c>
    </row>
    <row r="7" ht="36" customHeight="1">
      <c r="A7" s="18" t="n">
        <v>44400</v>
      </c>
      <c r="B7" s="9" t="inlineStr">
        <is>
          <t>Pacific Angler Friday Fishing Report: July 23 2021</t>
        </is>
      </c>
      <c r="C7" s="19" t="inlineStr">
        <is>
          <t>https://www.pacificangler.ca/blogs/learn/pacific-angler-friday-fishing-report-july-23-2021</t>
        </is>
      </c>
      <c r="D7" s="9" t="inlineStr">
        <is>
          <t>Ocean</t>
        </is>
      </c>
      <c r="E7" s="9" t="inlineStr">
        <is>
          <t>Capilano mouth / North Shore beaches / West Van shoreline</t>
        </is>
      </c>
      <c r="F7" s="9" t="inlineStr">
        <is>
          <t>Coho salmon (beach &amp; estuary)</t>
        </is>
      </c>
    </row>
    <row r="8" ht="36" customHeight="1">
      <c r="A8" s="18" t="n">
        <v>44407</v>
      </c>
      <c r="B8" s="9" t="inlineStr">
        <is>
          <t>Pacific Angler Friday Fishing Report: July 30 2021</t>
        </is>
      </c>
      <c r="C8" s="19" t="inlineStr">
        <is>
          <t>https://www.pacificangler.ca/blogs/learn/pacific-angler-friday-fishing-report-july-30-2021</t>
        </is>
      </c>
      <c r="D8" s="9" t="inlineStr">
        <is>
          <t>River</t>
        </is>
      </c>
      <c r="E8" s="9" t="inlineStr">
        <is>
          <t>Capilano River and mouth</t>
        </is>
      </c>
      <c r="F8" s="9" t="inlineStr">
        <is>
          <t>Coho and chinook salmon (river / mouth)</t>
        </is>
      </c>
    </row>
    <row r="9" ht="36" customHeight="1">
      <c r="A9" s="18" t="n">
        <v>44435</v>
      </c>
      <c r="B9" s="9" t="inlineStr">
        <is>
          <t>Pacific Angler Friday Fishing Report: August 27 2021</t>
        </is>
      </c>
      <c r="C9" s="19" t="inlineStr">
        <is>
          <t>https://www.pacificangler.ca/blogs/learn/pacific-angler-friday-fishing-report-august-27-2021</t>
        </is>
      </c>
      <c r="D9" s="9" t="inlineStr">
        <is>
          <t>River</t>
        </is>
      </c>
      <c r="E9" s="9" t="inlineStr">
        <is>
          <t>Vedder / Chilliwack River</t>
        </is>
      </c>
      <c r="F9" s="9" t="inlineStr">
        <is>
          <t>Chum salmon</t>
        </is>
      </c>
    </row>
    <row r="10" ht="36" customHeight="1">
      <c r="A10" s="18" t="n">
        <v>44442</v>
      </c>
      <c r="B10" s="9" t="inlineStr">
        <is>
          <t>Pacific Angler Friday Fishing Report: September 3 2021</t>
        </is>
      </c>
      <c r="C10" s="19" t="inlineStr">
        <is>
          <t>https://www.pacificangler.ca/blogs/learn/pacific-angler-friday-fishing-report-september-3-2021</t>
        </is>
      </c>
      <c r="D10" s="9" t="inlineStr">
        <is>
          <t>River</t>
        </is>
      </c>
      <c r="E10" s="9" t="inlineStr">
        <is>
          <t>Vedder / Chilliwack River</t>
        </is>
      </c>
      <c r="F10" s="9" t="inlineStr">
        <is>
          <t>Fall chinook and coho</t>
        </is>
      </c>
    </row>
    <row r="11" ht="36" customHeight="1">
      <c r="A11" s="18" t="n">
        <v>44470</v>
      </c>
      <c r="B11" s="9" t="inlineStr">
        <is>
          <t>Pacific Angler Friday Fishing Report: October 1 2021</t>
        </is>
      </c>
      <c r="C11" s="19" t="inlineStr">
        <is>
          <t>https://www.pacificangler.ca/blogs/learn/pacific-angler-friday-fishing-report-october-1-2021</t>
        </is>
      </c>
      <c r="D11" s="9" t="inlineStr">
        <is>
          <t>River</t>
        </is>
      </c>
      <c r="E11" s="9" t="inlineStr">
        <is>
          <t>Squamish main stem and tributaries / Sea-to-Sky corridor</t>
        </is>
      </c>
      <c r="F11" s="9" t="inlineStr">
        <is>
          <t>Coho and pink salmon (plus mixed char/trout)</t>
        </is>
      </c>
    </row>
    <row r="12" ht="36" customHeight="1">
      <c r="A12" s="18" t="n">
        <v>44484</v>
      </c>
      <c r="B12" s="9" t="inlineStr">
        <is>
          <t>Pacific Angler Friday Fishing Report: October 15 2021</t>
        </is>
      </c>
      <c r="C12" s="19" t="inlineStr">
        <is>
          <t>https://www.pacificangler.ca/blogs/learn/pacific-angler-friday-fishing-report-october-15-2021</t>
        </is>
      </c>
      <c r="D12" s="9" t="inlineStr">
        <is>
          <t>River</t>
        </is>
      </c>
      <c r="E12" s="9" t="inlineStr">
        <is>
          <t>Harrison River, sloughs, tributaries, north-side Fraser systems</t>
        </is>
      </c>
      <c r="F12" s="9" t="inlineStr">
        <is>
          <t>Coho and chum salmon</t>
        </is>
      </c>
    </row>
    <row r="13" ht="36" customHeight="1">
      <c r="A13" s="18" t="n">
        <v>44813</v>
      </c>
      <c r="B13" s="9" t="inlineStr">
        <is>
          <t>Pacific Angler Friday Fishing Report: September 9 2022</t>
        </is>
      </c>
      <c r="C13" s="19" t="inlineStr">
        <is>
          <t>https://www.pacificangler.ca/blogs/learn/pacific-angler-friday-fishing-report-september-9-2022</t>
        </is>
      </c>
      <c r="D13" s="9" t="inlineStr">
        <is>
          <t>Ocean</t>
        </is>
      </c>
      <c r="E13" s="9" t="inlineStr">
        <is>
          <t>Fraser Mouth / Sandheads / West Van / Area 17 (Gabriola &amp; Entrance)</t>
        </is>
      </c>
      <c r="F13" s="9" t="inlineStr">
        <is>
          <t>Chinook salmon (summer / migratory)</t>
        </is>
      </c>
    </row>
    <row r="14" ht="36" customHeight="1">
      <c r="A14" s="18" t="n">
        <v>44974</v>
      </c>
      <c r="B14" s="9" t="inlineStr">
        <is>
          <t>Pacific Angler Friday Fishing Report: February 17 2023</t>
        </is>
      </c>
      <c r="C14" s="19" t="inlineStr">
        <is>
          <t>https://www.pacificangler.ca/blogs/learn/pacific-angler-friday-fishing-report-february-17-2023</t>
        </is>
      </c>
      <c r="D14" s="9" t="inlineStr">
        <is>
          <t>Ocean</t>
        </is>
      </c>
      <c r="E14" s="9" t="inlineStr">
        <is>
          <t>Estuaries, Fraser tributary mouths, North Vancouver beaches, Blackie Spit</t>
        </is>
      </c>
      <c r="F14" s="9" t="inlineStr">
        <is>
          <t>Sea-run cutthroat trout</t>
        </is>
      </c>
    </row>
    <row r="15" ht="36" customHeight="1">
      <c r="A15" s="18" t="n">
        <v>45156</v>
      </c>
      <c r="B15" s="9" t="inlineStr">
        <is>
          <t>Pacific Angler Friday Fishing Report: August 18 2023</t>
        </is>
      </c>
      <c r="C15" s="19" t="inlineStr">
        <is>
          <t>https://www.pacificangler.ca/blogs/learn/pacific-angler-friday-fishing-report-august-18-2023</t>
        </is>
      </c>
      <c r="D15" s="9" t="inlineStr">
        <is>
          <t>River</t>
        </is>
      </c>
      <c r="E15" s="9" t="inlineStr">
        <is>
          <t>Lower Fraser River</t>
        </is>
      </c>
      <c r="F15" s="9" t="inlineStr">
        <is>
          <t>White sturgeon</t>
        </is>
      </c>
    </row>
    <row r="16" ht="36" customHeight="1">
      <c r="A16" s="18" t="n">
        <v>45177</v>
      </c>
      <c r="B16" s="9" t="inlineStr">
        <is>
          <t>Pacific Angler Friday Fishing Report: September 8 2023</t>
        </is>
      </c>
      <c r="C16" s="19" t="inlineStr">
        <is>
          <t>https://www.pacificangler.ca/blogs/learn/pacific-angler-friday-fishing-report-september-8-2023</t>
        </is>
      </c>
      <c r="D16" s="9" t="inlineStr">
        <is>
          <t>Ocean</t>
        </is>
      </c>
      <c r="E16" s="9" t="inlineStr">
        <is>
          <t>North Shore beaches / Vancouver beaches</t>
        </is>
      </c>
      <c r="F16" s="9" t="inlineStr">
        <is>
          <t>Pink salmon (beach, odd-year pattern)</t>
        </is>
      </c>
    </row>
    <row r="17" ht="36" customHeight="1">
      <c r="A17" s="18" t="n">
        <v>45485</v>
      </c>
      <c r="B17" s="9" t="inlineStr">
        <is>
          <t>Pacific Angler Friday Fishing Report: July 12 2024</t>
        </is>
      </c>
      <c r="C17" s="19" t="inlineStr">
        <is>
          <t>https://www.pacificangler.ca/blogs/learn/pacific-angler-friday-fishing-report-july-12-2024</t>
        </is>
      </c>
      <c r="D17" s="9" t="inlineStr">
        <is>
          <t>River</t>
        </is>
      </c>
      <c r="E17" s="9" t="inlineStr">
        <is>
          <t>Vedder / Chilliwack River</t>
        </is>
      </c>
      <c r="F17" s="9" t="inlineStr">
        <is>
          <t>Summer chinook</t>
        </is>
      </c>
    </row>
    <row r="18" ht="36" customHeight="1">
      <c r="A18" s="18" t="n">
        <v>45506</v>
      </c>
      <c r="B18" s="9" t="inlineStr">
        <is>
          <t>Pacific Angler Friday Fishing Report: August 2 2024</t>
        </is>
      </c>
      <c r="C18" s="19" t="inlineStr">
        <is>
          <t>https://www.pacificangler.ca/blogs/learn/pacific-angler-friday-fishing-report-august-2-2024</t>
        </is>
      </c>
      <c r="D18" s="9" t="inlineStr">
        <is>
          <t>Ocean; River</t>
        </is>
      </c>
      <c r="E18" s="9" t="inlineStr">
        <is>
          <t>Area 17 / Strait crossings / mixed trips; Capilano River and mouth; Capilano mouth / North Shore beaches / West Van shoreline; Fraser Mouth / Sandheads / West Van / Area 17 (Gabriola &amp; Entrance); Skagit / Thompson / small streams / estuary-linked creeks; South Bowen / Sunshine Coast / Strait crossings; Vedder / Chilliwack River</t>
        </is>
      </c>
      <c r="F18" s="9" t="inlineStr">
        <is>
          <t>Chinook salmon (summer / migratory); Coho and chinook salmon (river / mouth); Coho salmon (beach &amp; estuary); Coho salmon (boat troll); Lingcod, rockfish, prawns (secondary mixed targets); Rainbow, cutthroat and bull trout in trout streams; Summer chinook</t>
        </is>
      </c>
    </row>
    <row r="19" ht="36" customHeight="1">
      <c r="A19" s="18" t="n">
        <v>45520</v>
      </c>
      <c r="B19" s="9" t="inlineStr">
        <is>
          <t>Pacific Angler Friday Fishing Report: August 16 2024</t>
        </is>
      </c>
      <c r="C19" s="19" t="inlineStr">
        <is>
          <t>https://www.pacificangler.ca/blogs/learn/pacific-angler-friday-fishing-report-august-16-2024</t>
        </is>
      </c>
      <c r="D19" s="9" t="inlineStr">
        <is>
          <t>Lake; River</t>
        </is>
      </c>
      <c r="E19" s="9" t="inlineStr">
        <is>
          <t>Local warmwater lakes / carp water; Lower Fraser River</t>
        </is>
      </c>
      <c r="F19" s="9" t="inlineStr">
        <is>
          <t>Carp; White sturgeon</t>
        </is>
      </c>
    </row>
    <row r="20" ht="36" customHeight="1">
      <c r="A20" s="18" t="n">
        <v>45527</v>
      </c>
      <c r="B20" s="9" t="inlineStr">
        <is>
          <t>Pacific Angler Friday Fishing Report: August 23 2024</t>
        </is>
      </c>
      <c r="C20" s="19" t="inlineStr">
        <is>
          <t>https://www.pacificangler.ca/blogs/learn/pacific-angler-friday-fishing-report-august-23-2024</t>
        </is>
      </c>
      <c r="D20" s="9" t="inlineStr">
        <is>
          <t>Ocean</t>
        </is>
      </c>
      <c r="E20" s="9" t="inlineStr">
        <is>
          <t>Area 17 / Strait crossings / mixed trips; Fraser Mouth / Sandheads / West Van / Area 17 (Gabriola &amp; Entrance)</t>
        </is>
      </c>
      <c r="F20" s="9" t="inlineStr">
        <is>
          <t>Chinook salmon (summer / migratory); Lingcod, rockfish, prawns (secondary mixed targets)</t>
        </is>
      </c>
    </row>
    <row r="21" ht="36" customHeight="1">
      <c r="A21" s="18" t="n">
        <v>45555</v>
      </c>
      <c r="B21" s="9" t="inlineStr">
        <is>
          <t>Pacific Angler Friday Fishing Report: September 20 2024</t>
        </is>
      </c>
      <c r="C21" s="19" t="inlineStr">
        <is>
          <t>https://www.pacificangler.ca/blogs/learn/pacific-angler-friday-fishing-report-september-20-2024</t>
        </is>
      </c>
      <c r="D21" s="9" t="inlineStr">
        <is>
          <t>River</t>
        </is>
      </c>
      <c r="E21" s="9" t="inlineStr">
        <is>
          <t>Harrison / lower Fraser confluence area; Squamish main stem and tributaries / Sea-to-Sky corridor; Vedder / Chilliwack River</t>
        </is>
      </c>
      <c r="F21" s="9" t="inlineStr">
        <is>
          <t>Coho and pink salmon (plus mixed char/trout); Early staging salmon / boat intercept fishery; Fall chinook and coho</t>
        </is>
      </c>
    </row>
    <row r="22" ht="36" customHeight="1">
      <c r="A22" s="18" t="n">
        <v>45576</v>
      </c>
      <c r="B22" s="9" t="inlineStr">
        <is>
          <t>Pacific Angler Friday Fishing Report: October 11 2024</t>
        </is>
      </c>
      <c r="C22" s="19" t="inlineStr">
        <is>
          <t>https://www.pacificangler.ca/blogs/learn/pacific-angler-friday-fishing-report-october-11-2024</t>
        </is>
      </c>
      <c r="D22" s="9" t="inlineStr">
        <is>
          <t>Ocean; River</t>
        </is>
      </c>
      <c r="E22" s="9" t="inlineStr">
        <is>
          <t>Capilano River and mouth; Fraser Mouth / Sandheads / West Van / Area 17 (Gabriola &amp; Entrance)</t>
        </is>
      </c>
      <c r="F22" s="9" t="inlineStr">
        <is>
          <t>Chinook salmon (summer / migratory); Coho and chinook salmon (river / mouth)</t>
        </is>
      </c>
    </row>
    <row r="23" ht="36" customHeight="1">
      <c r="A23" s="18" t="n">
        <v>45590</v>
      </c>
      <c r="B23" s="9" t="inlineStr">
        <is>
          <t>Pacific Angler Friday Fishing Report: October 25 2024</t>
        </is>
      </c>
      <c r="C23" s="19" t="inlineStr">
        <is>
          <t>https://www.pacificangler.ca/blogs/learn/pacific-angler-friday-fishing-report-october-25-2024</t>
        </is>
      </c>
      <c r="D23" s="9" t="inlineStr">
        <is>
          <t>River</t>
        </is>
      </c>
      <c r="E23" s="9" t="inlineStr">
        <is>
          <t>Vedder / Chilliwack River</t>
        </is>
      </c>
      <c r="F23" s="9" t="inlineStr">
        <is>
          <t>Chum salmon</t>
        </is>
      </c>
    </row>
    <row r="24" ht="36" customHeight="1">
      <c r="A24" s="18" t="n">
        <v>45597</v>
      </c>
      <c r="B24" s="9" t="inlineStr">
        <is>
          <t>Pacific Angler Friday Fishing Report: November 1 2024</t>
        </is>
      </c>
      <c r="C24" s="19" t="inlineStr">
        <is>
          <t>https://www.pacificangler.ca/blogs/learn/pacific-angler-friday-fishing-report-november-1-2024</t>
        </is>
      </c>
      <c r="D24" s="9" t="inlineStr">
        <is>
          <t>River</t>
        </is>
      </c>
      <c r="E24" s="9" t="inlineStr">
        <is>
          <t>Harrison River, sloughs, tributaries, north-side Fraser systems</t>
        </is>
      </c>
      <c r="F24" s="9" t="inlineStr">
        <is>
          <t>Coho and chum salmon</t>
        </is>
      </c>
    </row>
    <row r="25" ht="36" customHeight="1">
      <c r="A25" s="18" t="n">
        <v>45604</v>
      </c>
      <c r="B25" s="9" t="inlineStr">
        <is>
          <t>Pacific Angler Friday Fishing Report: November 8 2024</t>
        </is>
      </c>
      <c r="C25" s="19" t="inlineStr">
        <is>
          <t>https://www.pacificangler.ca/blogs/learn/pacific-angler-friday-fishing-report-november-8-2024</t>
        </is>
      </c>
      <c r="D25" s="9" t="inlineStr">
        <is>
          <t>River</t>
        </is>
      </c>
      <c r="E25" s="9" t="inlineStr">
        <is>
          <t>Vedder / Chilliwack River</t>
        </is>
      </c>
      <c r="F25" s="9" t="inlineStr">
        <is>
          <t>Chum salmon</t>
        </is>
      </c>
    </row>
    <row r="26" ht="36" customHeight="1">
      <c r="A26" s="18" t="n">
        <v>45618</v>
      </c>
      <c r="B26" s="9" t="inlineStr">
        <is>
          <t>Pacific Angler Friday Fishing Report: November 22 2024</t>
        </is>
      </c>
      <c r="C26" s="19" t="inlineStr">
        <is>
          <t>https://www.pacificangler.ca/blogs/learn/pacific-angler-friday-fishing-report-november-22-2024</t>
        </is>
      </c>
      <c r="D26" s="9" t="inlineStr">
        <is>
          <t>River</t>
        </is>
      </c>
      <c r="E26" s="9" t="inlineStr">
        <is>
          <t>Harrison River, sloughs, tributaries, north-side Fraser systems</t>
        </is>
      </c>
      <c r="F26" s="9" t="inlineStr">
        <is>
          <t>Coho and chum salmon</t>
        </is>
      </c>
    </row>
    <row r="27" ht="36" customHeight="1">
      <c r="A27" s="18" t="n">
        <v>45639</v>
      </c>
      <c r="B27" s="9" t="inlineStr">
        <is>
          <t>Pacific Angler Friday Fishing Report: December 13 2024</t>
        </is>
      </c>
      <c r="C27" s="19" t="inlineStr">
        <is>
          <t>https://www.pacificangler.ca/blogs/learn/pacific-angler-friday-fishing-report-december-13-2024</t>
        </is>
      </c>
      <c r="D27" s="9" t="inlineStr">
        <is>
          <t>River</t>
        </is>
      </c>
      <c r="E27" s="9" t="inlineStr">
        <is>
          <t>Sea-to-Sky corridor</t>
        </is>
      </c>
      <c r="F27" s="9" t="inlineStr">
        <is>
          <t>Bull trout / egg-eaters (late fall to winter)</t>
        </is>
      </c>
    </row>
    <row r="28" ht="36" customHeight="1">
      <c r="A28" s="18" t="n">
        <v>45723</v>
      </c>
      <c r="B28" s="9" t="inlineStr">
        <is>
          <t>Pacific Angler Friday Fishing Report: March 7 2025</t>
        </is>
      </c>
      <c r="C28" s="19" t="inlineStr">
        <is>
          <t>https://www.pacificangler.ca/blogs/learn/pacific-angler-friday-fishing-report-march-7-2025</t>
        </is>
      </c>
      <c r="D28" s="9" t="inlineStr">
        <is>
          <t>River</t>
        </is>
      </c>
      <c r="E28" s="9" t="inlineStr">
        <is>
          <t>Squamish main stem and tributaries / Sea-to-Sky corridor</t>
        </is>
      </c>
      <c r="F28" s="9" t="inlineStr">
        <is>
          <t>Bull trout, rainbows, cutthroat (spring fry fishery)</t>
        </is>
      </c>
    </row>
    <row r="29" ht="36" customHeight="1">
      <c r="A29" s="18" t="n">
        <v>45758</v>
      </c>
      <c r="B29" s="9" t="inlineStr">
        <is>
          <t>Pacific Angler Friday Fishing Report: April 11 2025</t>
        </is>
      </c>
      <c r="C29" s="19" t="inlineStr">
        <is>
          <t>https://www.pacificangler.ca/blogs/learn/pacific-angler-friday-fishing-report-april-11-2025</t>
        </is>
      </c>
      <c r="D29" s="9" t="inlineStr">
        <is>
          <t>Lake</t>
        </is>
      </c>
      <c r="E29" s="9" t="inlineStr">
        <is>
          <t>BC Interior lakes (lower elevation first, then higher elevation lakes)</t>
        </is>
      </c>
      <c r="F29" s="9" t="inlineStr">
        <is>
          <t>Rainbow trout (ice-off / chironomid phase)</t>
        </is>
      </c>
    </row>
    <row r="30" ht="36" customHeight="1">
      <c r="A30" s="18" t="n">
        <v>45765</v>
      </c>
      <c r="B30" s="9" t="inlineStr">
        <is>
          <t>Pacific Angler Friday Fishing Report: April 18 2025</t>
        </is>
      </c>
      <c r="C30" s="19" t="inlineStr">
        <is>
          <t>https://www.pacificangler.ca/blogs/learn/pacific-angler-friday-fishing-report-april-18-2025</t>
        </is>
      </c>
      <c r="D30" s="9" t="inlineStr">
        <is>
          <t>Ocean</t>
        </is>
      </c>
      <c r="E30" s="9" t="inlineStr">
        <is>
          <t>Estuaries, Fraser tributary mouths, North Vancouver beaches, Blackie Spit</t>
        </is>
      </c>
      <c r="F30" s="9" t="inlineStr">
        <is>
          <t>Sea-run cutthroat trout</t>
        </is>
      </c>
    </row>
    <row r="31" ht="36" customHeight="1">
      <c r="A31" s="18" t="n">
        <v>45772</v>
      </c>
      <c r="B31" s="9" t="inlineStr">
        <is>
          <t>Pacific Angler Friday Fishing Report: April 25 2025</t>
        </is>
      </c>
      <c r="C31" s="19" t="inlineStr">
        <is>
          <t>https://www.pacificangler.ca/blogs/learn/pacific-angler-friday-fishing-report-april-25-2025</t>
        </is>
      </c>
      <c r="D31" s="9" t="inlineStr">
        <is>
          <t>Lake; Ocean; River</t>
        </is>
      </c>
      <c r="E31" s="9" t="inlineStr">
        <is>
          <t>BC Interior lakes (lower elevation first, then higher elevation lakes); Estuaries, Fraser tributary mouths, North Vancouver beaches, Blackie Spit; Squamish main stem and tributaries / Sea-to-Sky corridor</t>
        </is>
      </c>
      <c r="F31" s="9" t="inlineStr">
        <is>
          <t>Bull trout, rainbows, cutthroat (spring fry fishery); Rainbow trout (ice-off / chironomid phase); Sea-run cutthroat trout</t>
        </is>
      </c>
    </row>
    <row r="32" ht="36" customHeight="1">
      <c r="A32" s="18" t="n">
        <v>45800</v>
      </c>
      <c r="B32" s="9" t="inlineStr">
        <is>
          <t>Pacific Angler Friday Fishing Report: May 23 2025</t>
        </is>
      </c>
      <c r="C32" s="19" t="inlineStr">
        <is>
          <t>https://www.pacificangler.ca/blogs/learn/pacific-angler-friday-fishing-report-may-23-2025</t>
        </is>
      </c>
      <c r="D32" s="9" t="inlineStr">
        <is>
          <t>River</t>
        </is>
      </c>
      <c r="E32" s="9" t="inlineStr">
        <is>
          <t>Skagit / Thompson / small streams / estuary-linked creeks</t>
        </is>
      </c>
      <c r="F32" s="9" t="inlineStr">
        <is>
          <t>Rainbow, cutthroat and bull trout in trout streams</t>
        </is>
      </c>
    </row>
    <row r="33" ht="36" customHeight="1">
      <c r="A33" s="18" t="n">
        <v>45814</v>
      </c>
      <c r="B33" s="9" t="inlineStr">
        <is>
          <t>Pacific Angler Friday Fishing Report: June 6 2025</t>
        </is>
      </c>
      <c r="C33" s="19" t="inlineStr">
        <is>
          <t>https://www.pacificangler.ca/blogs/learn/pacific-angler-friday-fishing-report-june-6-2025</t>
        </is>
      </c>
      <c r="D33" s="9" t="inlineStr">
        <is>
          <t>Ocean</t>
        </is>
      </c>
      <c r="E33" s="9" t="inlineStr">
        <is>
          <t>South Bowen / Sunshine Coast / Strait crossings</t>
        </is>
      </c>
      <c r="F33" s="9" t="inlineStr">
        <is>
          <t>Coho salmon (boat troll)</t>
        </is>
      </c>
    </row>
    <row r="34" ht="36" customHeight="1">
      <c r="A34" s="18" t="n">
        <v>45821</v>
      </c>
      <c r="B34" s="9" t="inlineStr">
        <is>
          <t>Pacific Angler Friday Fishing Report: June 13 2025</t>
        </is>
      </c>
      <c r="C34" s="19" t="inlineStr">
        <is>
          <t>https://www.pacificangler.ca/blogs/learn/pacific-angler-friday-fishing-report-june-13-2025</t>
        </is>
      </c>
      <c r="D34" s="9" t="inlineStr">
        <is>
          <t>Lake; Ocean; River</t>
        </is>
      </c>
      <c r="E34" s="9" t="inlineStr">
        <is>
          <t>BC Interior lakes; Capilano River and mouth; Capilano mouth / North Shore beaches / West Van shoreline</t>
        </is>
      </c>
      <c r="F34" s="9" t="inlineStr">
        <is>
          <t>Coho and chinook salmon (river / mouth); Coho salmon (beach &amp; estuary); Rainbow trout (late spring / early summer hatch mix)</t>
        </is>
      </c>
    </row>
    <row r="35" ht="36" customHeight="1">
      <c r="A35" s="18" t="n">
        <v>45828</v>
      </c>
      <c r="B35" s="9" t="inlineStr">
        <is>
          <t>Pacific Angler Friday Fishing Report: June 20 2025</t>
        </is>
      </c>
      <c r="C35" s="19" t="inlineStr">
        <is>
          <t>https://www.pacificangler.ca/blogs/learn/pacific-angler-friday-fishing-report-june-20-2025</t>
        </is>
      </c>
      <c r="D35" s="9" t="inlineStr">
        <is>
          <t>Ocean; River</t>
        </is>
      </c>
      <c r="E35" s="9" t="inlineStr">
        <is>
          <t>Capilano mouth / North Shore beaches / West Van shoreline; Lower Fraser River; Vedder / Chilliwack River</t>
        </is>
      </c>
      <c r="F35" s="9" t="inlineStr">
        <is>
          <t>Coho salmon (beach &amp; estuary); Summer chinook; White sturgeon</t>
        </is>
      </c>
    </row>
    <row r="36" ht="36" customHeight="1">
      <c r="A36" s="18" t="n">
        <v>45856</v>
      </c>
      <c r="B36" s="9" t="inlineStr">
        <is>
          <t>Pacific Angler Friday Fishing Report: July 18 2025</t>
        </is>
      </c>
      <c r="C36" s="19" t="inlineStr">
        <is>
          <t>https://www.pacificangler.ca/blogs/learn/pacific-angler-friday-fishing-report-july-18-2025</t>
        </is>
      </c>
      <c r="D36" s="9" t="inlineStr">
        <is>
          <t>Ocean</t>
        </is>
      </c>
      <c r="E36" s="9" t="inlineStr">
        <is>
          <t>Capilano mouth / North Shore beaches / West Van shoreline; Fraser Mouth / Sandheads / West Van / Area 17 (Gabriola &amp; Entrance); North Shore beaches / Vancouver beaches</t>
        </is>
      </c>
      <c r="F36" s="9" t="inlineStr">
        <is>
          <t>Chinook salmon (summer / migratory); Coho salmon (beach &amp; estuary); Pink salmon (beach, odd-year pattern)</t>
        </is>
      </c>
    </row>
    <row r="37" ht="36" customHeight="1">
      <c r="A37" s="18" t="n">
        <v>45863</v>
      </c>
      <c r="B37" s="9" t="inlineStr">
        <is>
          <t>Pacific Angler Friday Fishing Report: July 25 2025</t>
        </is>
      </c>
      <c r="C37" s="19" t="inlineStr">
        <is>
          <t>https://www.pacificangler.ca/blogs/learn/pacific-angler-friday-fishing-report-july-25-2025</t>
        </is>
      </c>
      <c r="D37" s="9" t="inlineStr">
        <is>
          <t>Ocean</t>
        </is>
      </c>
      <c r="E37" s="9" t="inlineStr">
        <is>
          <t>South Bowen / Sunshine Coast / Strait crossings</t>
        </is>
      </c>
      <c r="F37" s="9" t="inlineStr">
        <is>
          <t>Coho salmon (boat troll)</t>
        </is>
      </c>
    </row>
    <row r="38" ht="36" customHeight="1">
      <c r="A38" s="18" t="n">
        <v>45870</v>
      </c>
      <c r="B38" s="9" t="inlineStr">
        <is>
          <t>Pacific Angler Friday Fishing Report: August 1 2025</t>
        </is>
      </c>
      <c r="C38" s="19" t="inlineStr">
        <is>
          <t>https://www.pacificangler.ca/blogs/learn/pacific-angler-friday-fishing-report-august-1-2025</t>
        </is>
      </c>
      <c r="D38" s="9" t="inlineStr">
        <is>
          <t>River</t>
        </is>
      </c>
      <c r="E38" s="9" t="inlineStr">
        <is>
          <t>Vedder / Chilliwack River</t>
        </is>
      </c>
      <c r="F38" s="9" t="inlineStr">
        <is>
          <t>Summer chinook</t>
        </is>
      </c>
    </row>
    <row r="39" ht="36" customHeight="1">
      <c r="A39" s="18" t="n">
        <v>45898</v>
      </c>
      <c r="B39" s="9" t="inlineStr">
        <is>
          <t>Pacific Angler Friday Fishing Report: August 29 2025</t>
        </is>
      </c>
      <c r="C39" s="19" t="inlineStr">
        <is>
          <t>https://www.pacificangler.ca/blogs/learn/pacific-angler-friday-fishing-report-august-29-2025</t>
        </is>
      </c>
      <c r="D39" s="9" t="inlineStr">
        <is>
          <t>Lake</t>
        </is>
      </c>
      <c r="E39" s="9" t="inlineStr">
        <is>
          <t>BC Interior lakes</t>
        </is>
      </c>
      <c r="F39" s="9" t="inlineStr">
        <is>
          <t>Rainbow trout (late summer / fall)</t>
        </is>
      </c>
    </row>
    <row r="40" ht="36" customHeight="1">
      <c r="A40" s="18" t="n">
        <v>45905</v>
      </c>
      <c r="B40" s="9" t="inlineStr">
        <is>
          <t>Pacific Angler Friday Fishing Report: September 5 2025</t>
        </is>
      </c>
      <c r="C40" s="19" t="inlineStr">
        <is>
          <t>https://www.pacificangler.ca/blogs/learn/pacific-angler-friday-fishing-report-september-5-2025</t>
        </is>
      </c>
      <c r="D40" s="9" t="inlineStr">
        <is>
          <t>River</t>
        </is>
      </c>
      <c r="E40" s="9" t="inlineStr">
        <is>
          <t>Lower Fraser River</t>
        </is>
      </c>
      <c r="F40" s="9" t="inlineStr">
        <is>
          <t>White sturgeon</t>
        </is>
      </c>
    </row>
    <row r="41" ht="36" customHeight="1">
      <c r="A41" s="18" t="n">
        <v>45912</v>
      </c>
      <c r="B41" s="9" t="inlineStr">
        <is>
          <t>Pacific Angler Friday Fishing Report: September 12 2025</t>
        </is>
      </c>
      <c r="C41" s="19" t="inlineStr">
        <is>
          <t>https://www.pacificangler.ca/blogs/learn/pacific-angler-friday-fishing-report-september-12-2025</t>
        </is>
      </c>
      <c r="D41" s="9" t="inlineStr">
        <is>
          <t>Lake</t>
        </is>
      </c>
      <c r="E41" s="9" t="inlineStr">
        <is>
          <t>BC Interior lakes</t>
        </is>
      </c>
      <c r="F41" s="9" t="inlineStr">
        <is>
          <t>Rainbow trout (late summer / fall)</t>
        </is>
      </c>
    </row>
    <row r="42" ht="36" customHeight="1">
      <c r="A42" s="18" t="n">
        <v>45919</v>
      </c>
      <c r="B42" s="9" t="inlineStr">
        <is>
          <t>Pacific Angler Friday Fishing Report: September 19 2025</t>
        </is>
      </c>
      <c r="C42" s="19" t="inlineStr">
        <is>
          <t>https://www.pacificangler.ca/blogs/learn/pacific-angler-friday-fishing-report-september-19-2025</t>
        </is>
      </c>
      <c r="D42" s="9" t="inlineStr">
        <is>
          <t>River</t>
        </is>
      </c>
      <c r="E42" s="9" t="inlineStr">
        <is>
          <t>Harrison River, sloughs, tributaries, north-side Fraser systems; Squamish main stem and tributaries / Sea-to-Sky corridor</t>
        </is>
      </c>
      <c r="F42" s="9" t="inlineStr">
        <is>
          <t>Coho and chum salmon; Coho and pink salmon (plus mixed char/trout)</t>
        </is>
      </c>
    </row>
    <row r="43" ht="36" customHeight="1">
      <c r="A43" s="18" t="n">
        <v>45926</v>
      </c>
      <c r="B43" s="9" t="inlineStr">
        <is>
          <t>Pacific Angler Friday Fishing Report: September 26 2025</t>
        </is>
      </c>
      <c r="C43" s="19" t="inlineStr">
        <is>
          <t>https://www.pacificangler.ca/blogs/learn/pacific-angler-friday-fishing-report-september-26-2025</t>
        </is>
      </c>
      <c r="D43" s="9" t="inlineStr">
        <is>
          <t>Lake</t>
        </is>
      </c>
      <c r="E43" s="9" t="inlineStr">
        <is>
          <t>BC Interior lakes</t>
        </is>
      </c>
      <c r="F43" s="9" t="inlineStr">
        <is>
          <t>Rainbow trout (late summer / fall)</t>
        </is>
      </c>
    </row>
    <row r="44" ht="36" customHeight="1">
      <c r="A44" s="18" t="n">
        <v>45940</v>
      </c>
      <c r="B44" s="9" t="inlineStr">
        <is>
          <t>Pacific Angler Friday Fishing Report: October 10 2025</t>
        </is>
      </c>
      <c r="C44" s="19" t="inlineStr">
        <is>
          <t>https://www.pacificangler.ca/blogs/learn/pacific-angler-friday-fishing-report-october-10-2025</t>
        </is>
      </c>
      <c r="D44" s="9" t="inlineStr">
        <is>
          <t>River</t>
        </is>
      </c>
      <c r="E44" s="9" t="inlineStr">
        <is>
          <t>Vedder / Chilliwack River</t>
        </is>
      </c>
      <c r="F44" s="9" t="inlineStr">
        <is>
          <t>Fall chinook and coho</t>
        </is>
      </c>
    </row>
    <row r="45" ht="36" customHeight="1">
      <c r="A45" s="18" t="n">
        <v>45996</v>
      </c>
      <c r="B45" s="9" t="inlineStr">
        <is>
          <t>Pacific Angler Friday Fishing Report: December 5 2025</t>
        </is>
      </c>
      <c r="C45" s="19" t="inlineStr">
        <is>
          <t>https://www.pacificangler.ca/blogs/learn/pacific-angler-friday-fishing-report-december-5-2025</t>
        </is>
      </c>
      <c r="D45" s="9" t="inlineStr">
        <is>
          <t>Ocean; River</t>
        </is>
      </c>
      <c r="E45" s="9" t="inlineStr">
        <is>
          <t>Sea-to-Sky corridor; Vancouver Harbour / Lower Howe Sound / Gulf Islands / Gabriola</t>
        </is>
      </c>
      <c r="F45" s="9" t="inlineStr">
        <is>
          <t>Bull trout / egg-eaters (late fall to winter); Chinook salmon (winter)</t>
        </is>
      </c>
    </row>
    <row r="46" ht="36" customHeight="1">
      <c r="A46" s="18" t="n">
        <v>46024</v>
      </c>
      <c r="B46" s="9" t="inlineStr">
        <is>
          <t>Pacific Angler Friday Fishing Report: January 2 2026</t>
        </is>
      </c>
      <c r="C46" s="19" t="inlineStr">
        <is>
          <t>https://www.pacificangler.ca/blogs/learn/pacific-angler-friday-fishing-report-january-2-2026</t>
        </is>
      </c>
      <c r="D46" s="9" t="inlineStr">
        <is>
          <t>River</t>
        </is>
      </c>
      <c r="E46" s="9" t="inlineStr">
        <is>
          <t>Sea-to-Sky corridor</t>
        </is>
      </c>
      <c r="F46" s="9" t="inlineStr">
        <is>
          <t>Bull trout / egg-eaters (late fall to winter)</t>
        </is>
      </c>
    </row>
    <row r="47" ht="36" customHeight="1">
      <c r="A47" s="18" t="n">
        <v>46031</v>
      </c>
      <c r="B47" s="9" t="inlineStr">
        <is>
          <t>Pacific Angler Friday Fishing Report: January 9 2026</t>
        </is>
      </c>
      <c r="C47" s="19" t="inlineStr">
        <is>
          <t>https://www.pacificangler.ca/blogs/learn/pacific-angler-friday-fishing-report-january-9-2026</t>
        </is>
      </c>
      <c r="D47" s="9" t="inlineStr">
        <is>
          <t>Ocean</t>
        </is>
      </c>
      <c r="E47" s="9" t="inlineStr">
        <is>
          <t>Area 17 / Strait crossings / mixed trips; Vancouver Harbour / Lower Howe Sound / Gulf Islands / Gabriola</t>
        </is>
      </c>
      <c r="F47" s="9" t="inlineStr">
        <is>
          <t>Chinook salmon (winter); Lingcod, rockfish, prawns (secondary mixed targets)</t>
        </is>
      </c>
    </row>
    <row r="48" ht="36" customHeight="1">
      <c r="A48" s="18" t="n">
        <v>46045</v>
      </c>
      <c r="B48" s="9" t="inlineStr">
        <is>
          <t>Pacific Angler Friday Fishing Report: January 23 2026</t>
        </is>
      </c>
      <c r="C48" s="19" t="inlineStr">
        <is>
          <t>https://www.pacificangler.ca/blogs/learn/pacific-angler-friday-fishing-report-january-23-2026</t>
        </is>
      </c>
      <c r="D48" s="9" t="inlineStr">
        <is>
          <t>Ocean</t>
        </is>
      </c>
      <c r="E48" s="9" t="inlineStr">
        <is>
          <t>Vancouver Harbour / Lower Howe Sound / Gulf Islands / Gabriola</t>
        </is>
      </c>
      <c r="F48" s="9" t="inlineStr">
        <is>
          <t>Chinook salmon (winter)</t>
        </is>
      </c>
    </row>
    <row r="49" ht="36" customHeight="1">
      <c r="A49" s="18" t="n">
        <v>46066</v>
      </c>
      <c r="B49" s="9" t="inlineStr">
        <is>
          <t>Pacific Angler Friday Fishing Report: February 13 2026</t>
        </is>
      </c>
      <c r="C49" s="19" t="inlineStr">
        <is>
          <t>https://www.pacificangler.ca/blogs/learn/pacific-angler-friday-fishing-report-february-13-2026</t>
        </is>
      </c>
      <c r="D49" s="9" t="inlineStr">
        <is>
          <t>Ocean; River</t>
        </is>
      </c>
      <c r="E49" s="9" t="inlineStr">
        <is>
          <t>Area 17 / Strait crossings / mixed trips; Vancouver Harbour / Lower Howe Sound / Gulf Islands / Gabriola; Vedder / Chilliwack River</t>
        </is>
      </c>
      <c r="F49" s="9" t="inlineStr">
        <is>
          <t>Chinook salmon (winter); Lingcod, rockfish, prawns (secondary mixed targets); Steelhead</t>
        </is>
      </c>
    </row>
    <row r="50" ht="36" customHeight="1">
      <c r="A50" s="18" t="n">
        <v>46073</v>
      </c>
      <c r="B50" s="9" t="inlineStr">
        <is>
          <t>Pacific Angler Friday Fishing Report: February 20 2026</t>
        </is>
      </c>
      <c r="C50" s="19" t="inlineStr">
        <is>
          <t>https://www.pacificangler.ca/blogs/learn/pacific-angler-friday-fishing-report-february-20-2026</t>
        </is>
      </c>
      <c r="D50" s="9" t="inlineStr">
        <is>
          <t>Lake; Ocean; River</t>
        </is>
      </c>
      <c r="E50" s="9" t="inlineStr">
        <is>
          <t>Lower Mainland stocked lakes; Vancouver Harbour / Lower Howe Sound / Gulf Islands / Gabriola; Vedder / Chilliwack River</t>
        </is>
      </c>
      <c r="F50" s="9" t="inlineStr">
        <is>
          <t>Chinook salmon (winter); Steelhead; Stocked rainbow trout</t>
        </is>
      </c>
    </row>
    <row r="51" ht="36" customHeight="1">
      <c r="A51" s="18" t="n">
        <v>46080</v>
      </c>
      <c r="B51" s="9" t="inlineStr">
        <is>
          <t>Pacific Angler Friday Fishing Report: February 27 2026</t>
        </is>
      </c>
      <c r="C51" s="19" t="inlineStr">
        <is>
          <t>https://www.pacificangler.ca/blogs/learn/pacific-angler-friday-fishing-report-february-27-2026</t>
        </is>
      </c>
      <c r="D51" s="9" t="inlineStr">
        <is>
          <t>Lake; River</t>
        </is>
      </c>
      <c r="E51" s="9" t="inlineStr">
        <is>
          <t>BC Interior lakes (lower elevation first, then higher elevation lakes); Squamish main stem and tributaries / Sea-to-Sky corridor</t>
        </is>
      </c>
      <c r="F51" s="9" t="inlineStr">
        <is>
          <t>Bull trout, rainbows, cutthroat (spring fry fishery); Rainbow trout (ice-off / chironomid phase)</t>
        </is>
      </c>
    </row>
    <row r="52" ht="36" customHeight="1">
      <c r="A52" s="18" t="n">
        <v>46087</v>
      </c>
      <c r="B52" s="9" t="inlineStr">
        <is>
          <t>Pacific Angler Friday Fishing Report: March 6 2026</t>
        </is>
      </c>
      <c r="C52" s="19" t="inlineStr">
        <is>
          <t>https://www.pacificangler.ca/blogs/learn/pacific-angler-friday-fishing-report-march-6-2026</t>
        </is>
      </c>
      <c r="D52" s="9" t="inlineStr">
        <is>
          <t>River</t>
        </is>
      </c>
      <c r="E52" s="9" t="inlineStr">
        <is>
          <t>Skagit / Thompson / small streams / estuary-linked creeks; Squamish main stem and tributaries / Sea-to-Sky corridor</t>
        </is>
      </c>
      <c r="F52" s="9" t="inlineStr">
        <is>
          <t>Bull trout, rainbows, cutthroat (spring fry fishery); Rainbow, cutthroat and bull trout in trout streams</t>
        </is>
      </c>
    </row>
    <row r="53" ht="36" customHeight="1">
      <c r="A53" s="18" t="n">
        <v>46094</v>
      </c>
      <c r="B53" s="9" t="inlineStr">
        <is>
          <t>Pacific Angler Friday Fishing Report: March 13 2026</t>
        </is>
      </c>
      <c r="C53" s="19" t="inlineStr">
        <is>
          <t>https://www.pacificangler.ca/blogs/learn/pacific-angler-friday-fishing-report-march-13-2026</t>
        </is>
      </c>
      <c r="D53" s="9" t="inlineStr">
        <is>
          <t>River</t>
        </is>
      </c>
      <c r="E53" s="9" t="inlineStr">
        <is>
          <t>Squamish main stem and tributaries / Sea-to-Sky corridor</t>
        </is>
      </c>
      <c r="F53" s="9" t="inlineStr">
        <is>
          <t>Bull trout, rainbows, cutthroat (spring fry fishery)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24" customWidth="1" min="5" max="5"/>
    <col width="14" customWidth="1" min="6" max="6"/>
    <col width="16" customWidth="1" min="7" max="7"/>
    <col width="28" customWidth="1" min="8" max="8"/>
    <col width="36" customWidth="1" min="9" max="9"/>
    <col width="32" customWidth="1" min="10" max="10"/>
    <col width="30" customWidth="1" min="11" max="11"/>
    <col width="24" customWidth="1" min="12" max="12"/>
    <col width="12" customWidth="1" min="13" max="13"/>
  </cols>
  <sheetData>
    <row r="1">
      <c r="A1" s="17" t="inlineStr">
        <is>
          <t>ID</t>
        </is>
      </c>
      <c r="B1" s="17" t="inlineStr">
        <is>
          <t>Broad Category</t>
        </is>
      </c>
      <c r="C1" s="17" t="inlineStr">
        <is>
          <t>Sub Category</t>
        </is>
      </c>
      <c r="D1" s="17" t="inlineStr">
        <is>
          <t>System / Area</t>
        </is>
      </c>
      <c r="E1" s="17" t="inlineStr">
        <is>
          <t>Species</t>
        </is>
      </c>
      <c r="F1" s="17" t="inlineStr">
        <is>
          <t>Primary Months</t>
        </is>
      </c>
      <c r="G1" s="17" t="inlineStr">
        <is>
          <t>Secondary Months</t>
        </is>
      </c>
      <c r="H1" s="17" t="inlineStr">
        <is>
          <t>Timing Notes</t>
        </is>
      </c>
      <c r="I1" s="17" t="inlineStr">
        <is>
          <t>Gear Tactics</t>
        </is>
      </c>
      <c r="J1" s="17" t="inlineStr">
        <is>
          <t>Fly Tactics</t>
        </is>
      </c>
      <c r="K1" s="17" t="inlineStr">
        <is>
          <t>Conditions</t>
        </is>
      </c>
      <c r="L1" s="17" t="inlineStr">
        <is>
          <t>Key Areas</t>
        </is>
      </c>
      <c r="M1" s="17" t="inlineStr">
        <is>
          <t>Source Count</t>
        </is>
      </c>
    </row>
    <row r="2" ht="52" customHeight="1">
      <c r="A2" s="9" t="inlineStr">
        <is>
          <t>OB1</t>
        </is>
      </c>
      <c r="B2" s="9" t="inlineStr">
        <is>
          <t>Ocean</t>
        </is>
      </c>
      <c r="C2" s="9" t="inlineStr">
        <is>
          <t>Boat</t>
        </is>
      </c>
      <c r="D2" s="9" t="inlineStr">
        <is>
          <t>Vancouver Harbour / Lower Howe Sound / Gulf Islands / Gabriola</t>
        </is>
      </c>
      <c r="E2" s="9" t="inlineStr">
        <is>
          <t>Chinook salmon (winter)</t>
        </is>
      </c>
      <c r="F2" s="9" t="inlineStr">
        <is>
          <t>Dec-Feb</t>
        </is>
      </c>
      <c r="G2" s="9" t="inlineStr">
        <is>
          <t>Nov, Mar</t>
        </is>
      </c>
      <c r="H2" s="9" t="inlineStr">
        <is>
          <t>Consistent winter fishery; strongest retrospective pattern was early winter through mid-winter.</t>
        </is>
      </c>
      <c r="I2" s="9" t="inlineStr">
        <is>
          <t>Troll larger spoons plus green/blue/chartreuse/glow hoochies and flashers; keep gear tight to bait; vary depth from suspended fish (~80 ft) to deeper fish depending on bait and tide.</t>
        </is>
      </c>
      <c r="J2" s="9" t="inlineStr">
        <is>
          <t>Not a recurring fly fishery in the reports.</t>
        </is>
      </c>
      <c r="K2" s="9" t="inlineStr">
        <is>
          <t>Bait concentration, marine forecast, dirty/cloudy water favour brighter glow/chartreuse presentations; top of flood/high slack can matter near Sandheads and Fraser mouth.</t>
        </is>
      </c>
      <c r="L2" s="9" t="inlineStr">
        <is>
          <t>Harbour, Bell Buoy/freighters, Lower Howe Sound, Cap mouth, Gabriola, South Bowen/Gower in calm weather.</t>
        </is>
      </c>
      <c r="M2" s="9" t="n">
        <v>6</v>
      </c>
    </row>
    <row r="3" ht="52" customHeight="1">
      <c r="A3" s="9" t="inlineStr">
        <is>
          <t>OB2</t>
        </is>
      </c>
      <c r="B3" s="9" t="inlineStr">
        <is>
          <t>Ocean</t>
        </is>
      </c>
      <c r="C3" s="9" t="inlineStr">
        <is>
          <t>Boat</t>
        </is>
      </c>
      <c r="D3" s="9" t="inlineStr">
        <is>
          <t>Fraser Mouth / Sandheads / West Van / Area 17 (Gabriola &amp; Entrance)</t>
        </is>
      </c>
      <c r="E3" s="9" t="inlineStr">
        <is>
          <t>Chinook salmon (summer / migratory)</t>
        </is>
      </c>
      <c r="F3" s="9" t="inlineStr">
        <is>
          <t>Jul-Sep</t>
        </is>
      </c>
      <c r="G3" s="9" t="inlineStr">
        <is>
          <t>Oct</t>
        </is>
      </c>
      <c r="H3" s="9" t="inlineStr">
        <is>
          <t>July openings over on Area 17 and strong August-September migratory chinook at Fraser mouth/West Van were recurrent themes.</t>
        </is>
      </c>
      <c r="I3" s="9" t="inlineStr">
        <is>
          <t>Bait and hoochies are recurring producers; at Sandheads, fish the top of the flood over high slack; adjust downrigger depth through the column; West Van and Area 17 openings support classic trolled salmon gear.</t>
        </is>
      </c>
      <c r="J3" s="9" t="inlineStr">
        <is>
          <t>Not a recurring fly fishery in the reports.</t>
        </is>
      </c>
      <c r="K3" s="9" t="inlineStr">
        <is>
          <t>Tides, marine weather, and river levels at the Capilano/Fraser mouth affect where fish stack and whether shore-proximate routes stay productive.</t>
        </is>
      </c>
      <c r="L3" s="9" t="inlineStr">
        <is>
          <t>Sandheads, Fraser mouth, West Van shoreline, South Bowen/Gower, Gabriola, Entrance Island.</t>
        </is>
      </c>
      <c r="M3" s="9" t="n">
        <v>5</v>
      </c>
    </row>
    <row r="4" ht="52" customHeight="1">
      <c r="A4" s="9" t="inlineStr">
        <is>
          <t>OB3</t>
        </is>
      </c>
      <c r="B4" s="9" t="inlineStr">
        <is>
          <t>Ocean</t>
        </is>
      </c>
      <c r="C4" s="9" t="inlineStr">
        <is>
          <t>Boat</t>
        </is>
      </c>
      <c r="D4" s="9" t="inlineStr">
        <is>
          <t>South Bowen / Sunshine Coast / Strait crossings</t>
        </is>
      </c>
      <c r="E4" s="9" t="inlineStr">
        <is>
          <t>Coho salmon (boat troll)</t>
        </is>
      </c>
      <c r="F4" s="9" t="inlineStr">
        <is>
          <t>Jun-Aug</t>
        </is>
      </c>
      <c r="G4" s="9" t="inlineStr">
        <is>
          <t>Sep</t>
        </is>
      </c>
      <c r="H4" s="9" t="inlineStr">
        <is>
          <t>Early-to-mid summer coho trolling showed up repeatedly, often as the most dependable near-surface summer boat target.</t>
        </is>
      </c>
      <c r="I4" s="9" t="inlineStr">
        <is>
          <t>Troll 2.8-3.5 mph; fish 40-60 ft early season; use reflective/UV flashers, nickel spoons, Coho Killers/Kingfishers/Wee Gees, and white/pink/green hoochies on ~28 in leaders; use sounder and waypoints to stay on bait and moving pods.</t>
        </is>
      </c>
      <c r="J4" s="9" t="inlineStr">
        <is>
          <t>Not a recurring fly fishery in the reports.</t>
        </is>
      </c>
      <c r="K4" s="9" t="inlineStr">
        <is>
          <t>Bait schools and tide-adjusted trolling speed are decisive; coho often feed high in the column early in season.</t>
        </is>
      </c>
      <c r="L4" s="9" t="inlineStr">
        <is>
          <t>South Bowen, Cowan to Roger Curtis, Gower Point, Strait crossings, Sunshine Coast.</t>
        </is>
      </c>
      <c r="M4" s="9" t="n">
        <v>3</v>
      </c>
    </row>
    <row r="5" ht="52" customHeight="1">
      <c r="A5" s="9" t="inlineStr">
        <is>
          <t>OB4</t>
        </is>
      </c>
      <c r="B5" s="9" t="inlineStr">
        <is>
          <t>Ocean</t>
        </is>
      </c>
      <c r="C5" s="9" t="inlineStr">
        <is>
          <t>Boat</t>
        </is>
      </c>
      <c r="D5" s="9" t="inlineStr">
        <is>
          <t>Area 17 / Strait crossings / mixed trips</t>
        </is>
      </c>
      <c r="E5" s="9" t="inlineStr">
        <is>
          <t>Lingcod, rockfish, prawns (secondary mixed targets)</t>
        </is>
      </c>
      <c r="F5" s="9" t="inlineStr">
        <is>
          <t>Jul-Sep for bottomfish; Dec-Feb for prawns paired with chinook</t>
        </is>
      </c>
      <c r="G5" s="9" t="inlineStr">
        <is>
          <t>Mar, Oct</t>
        </is>
      </c>
      <c r="H5" s="9" t="inlineStr">
        <is>
          <t>Mixed-species charters often paired summer salmon with lingcod/rockfish and winter chinook with prawning.</t>
        </is>
      </c>
      <c r="I5" s="9" t="inlineStr">
        <is>
          <t>Bottomfish were usually secondary catches on longer summer runs; prawning was frequently paired with winter chinook trips.</t>
        </is>
      </c>
      <c r="J5" s="9" t="inlineStr">
        <is>
          <t>Not emphasized.</t>
        </is>
      </c>
      <c r="K5" s="9" t="inlineStr">
        <is>
          <t>Marine conditions determine whether longer runs are possible.</t>
        </is>
      </c>
      <c r="L5" s="9" t="inlineStr">
        <is>
          <t>Gabriola, Entrance Island, Lower Howe Sound / harbour charters.</t>
        </is>
      </c>
      <c r="M5" s="9" t="n">
        <v>4</v>
      </c>
    </row>
    <row r="6" ht="52" customHeight="1">
      <c r="A6" s="9" t="inlineStr">
        <is>
          <t>OE1</t>
        </is>
      </c>
      <c r="B6" s="9" t="inlineStr">
        <is>
          <t>Ocean</t>
        </is>
      </c>
      <c r="C6" s="9" t="inlineStr">
        <is>
          <t>Beach/Estuary</t>
        </is>
      </c>
      <c r="D6" s="9" t="inlineStr">
        <is>
          <t>Capilano mouth / North Shore beaches / West Van shoreline</t>
        </is>
      </c>
      <c r="E6" s="9" t="inlineStr">
        <is>
          <t>Coho salmon (beach &amp; estuary)</t>
        </is>
      </c>
      <c r="F6" s="9" t="inlineStr">
        <is>
          <t>Jun-Aug</t>
        </is>
      </c>
      <c r="G6" s="9" t="inlineStr">
        <is>
          <t>Sep-Oct</t>
        </is>
      </c>
      <c r="H6" s="9" t="inlineStr">
        <is>
          <t>Morning tide changes and first light were the most consistent shore-based coho signals; low river conditions often kept fish stacked near the mouth/beaches.</t>
        </is>
      </c>
      <c r="I6" s="9" t="inlineStr">
        <is>
          <t>Spinners, spoons, buzz bombs, and spinner-hoochie combos; medium/fast 8-12 lb spinning rod, usually 8'6"+; carry small/medium/large presentations to cover shallow and deeper lanes.</t>
        </is>
      </c>
      <c r="J6" s="9" t="inlineStr">
        <is>
          <t>6-8 wt with floating or clear intermediate line; smaller coho flies plus krill/shrimp/euphausiid or small pink/flash patterns; strip presentations along tide edges.</t>
        </is>
      </c>
      <c r="K6" s="9" t="inlineStr">
        <is>
          <t>Early light, morning tide changes, low/descending tides, and low river levels that hold fish outside the river.</t>
        </is>
      </c>
      <c r="L6" s="9" t="inlineStr">
        <is>
          <t>Capilano mouth, Ambleside/West Van shoreline, North Vancouver beaches.</t>
        </is>
      </c>
      <c r="M6" s="9" t="n">
        <v>5</v>
      </c>
    </row>
    <row r="7" ht="52" customHeight="1">
      <c r="A7" s="9" t="inlineStr">
        <is>
          <t>OE2</t>
        </is>
      </c>
      <c r="B7" s="9" t="inlineStr">
        <is>
          <t>Ocean</t>
        </is>
      </c>
      <c r="C7" s="9" t="inlineStr">
        <is>
          <t>Beach/Estuary</t>
        </is>
      </c>
      <c r="D7" s="9" t="inlineStr">
        <is>
          <t>North Shore beaches / Vancouver beaches</t>
        </is>
      </c>
      <c r="E7" s="9" t="inlineStr">
        <is>
          <t>Pink salmon (beach, odd-year pattern)</t>
        </is>
      </c>
      <c r="F7" s="9" t="inlineStr">
        <is>
          <t>Jul-Aug</t>
        </is>
      </c>
      <c r="G7" s="9" t="inlineStr">
        <is>
          <t>Sep</t>
        </is>
      </c>
      <c r="H7" s="9" t="inlineStr">
        <is>
          <t>Odd-year pinks became a significant beach opportunity once the run entered the inlet; coho remained the dominant target before numbers built.</t>
        </is>
      </c>
      <c r="I7" s="9" t="inlineStr">
        <is>
          <t>Small pink flies, Tasmanian Devils, pink lures, and 2-3 inch pink buzz bombs; early arrival often starts at Ambleside/North Shore.</t>
        </is>
      </c>
      <c r="J7" s="9" t="inlineStr">
        <is>
          <t>Small pink flies and other modest-profile beach flies.</t>
        </is>
      </c>
      <c r="K7" s="9" t="inlineStr">
        <is>
          <t>Early arrivals build over several weeks; tide changes and crowd management matter on urban beaches.</t>
        </is>
      </c>
      <c r="L7" s="9" t="inlineStr">
        <is>
          <t>Ambleside and other North Shore beaches.</t>
        </is>
      </c>
      <c r="M7" s="9" t="n">
        <v>2</v>
      </c>
    </row>
    <row r="8" ht="52" customHeight="1">
      <c r="A8" s="9" t="inlineStr">
        <is>
          <t>OE3</t>
        </is>
      </c>
      <c r="B8" s="9" t="inlineStr">
        <is>
          <t>Ocean</t>
        </is>
      </c>
      <c r="C8" s="9" t="inlineStr">
        <is>
          <t>Beach/Estuary</t>
        </is>
      </c>
      <c r="D8" s="9" t="inlineStr">
        <is>
          <t>Estuaries, Fraser tributary mouths, North Vancouver beaches, Blackie Spit</t>
        </is>
      </c>
      <c r="E8" s="9" t="inlineStr">
        <is>
          <t>Sea-run cutthroat trout</t>
        </is>
      </c>
      <c r="F8" s="9" t="inlineStr">
        <is>
          <t>Mar-May</t>
        </is>
      </c>
      <c r="G8" s="9" t="inlineStr">
        <is>
          <t>Feb, Jun</t>
        </is>
      </c>
      <c r="H8" s="9" t="inlineStr">
        <is>
          <t>Spring fry-hatch timing was the key trigger. Reports repeatedly tied cutthroat activity to warming trends, fry presence, and estuary bait concentration.</t>
        </is>
      </c>
      <c r="I8" s="9" t="inlineStr">
        <is>
          <t>Light spinning rods with small Crocs, Dick-Nites, small spinners on 6-8 lb mono or light braid; keep moving and cover multiple spots.</t>
        </is>
      </c>
      <c r="J8" s="9" t="inlineStr">
        <is>
          <t>4-6 wt with floating or ghost-tip/intermediate lines; epoxy fry, muddler minnows, poppers (AS, Miyawaki), Chum Baby, Dahlia's Squid and other fry/estuary patterns; stripping basket strongly recommended from shore.</t>
        </is>
      </c>
      <c r="K8" s="9" t="inlineStr">
        <is>
          <t>First warm spell, fry movement, mornings with fish slashing fry close to shore, and good high tides in the morning.</t>
        </is>
      </c>
      <c r="L8" s="9" t="inlineStr">
        <is>
          <t>Fraser/Harrison tributary estuaries, North Vancouver beaches, Blackie Spit, small coastal creek mouths.</t>
        </is>
      </c>
      <c r="M8" s="9" t="n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24" customWidth="1" min="5" max="5"/>
    <col width="14" customWidth="1" min="6" max="6"/>
    <col width="16" customWidth="1" min="7" max="7"/>
    <col width="28" customWidth="1" min="8" max="8"/>
    <col width="36" customWidth="1" min="9" max="9"/>
    <col width="32" customWidth="1" min="10" max="10"/>
    <col width="30" customWidth="1" min="11" max="11"/>
    <col width="24" customWidth="1" min="12" max="12"/>
    <col width="12" customWidth="1" min="13" max="13"/>
  </cols>
  <sheetData>
    <row r="1">
      <c r="A1" s="12" t="inlineStr">
        <is>
          <t>ID</t>
        </is>
      </c>
      <c r="B1" s="12" t="inlineStr">
        <is>
          <t>Broad Category</t>
        </is>
      </c>
      <c r="C1" s="12" t="inlineStr">
        <is>
          <t>Sub Category</t>
        </is>
      </c>
      <c r="D1" s="12" t="inlineStr">
        <is>
          <t>System / Area</t>
        </is>
      </c>
      <c r="E1" s="12" t="inlineStr">
        <is>
          <t>Species</t>
        </is>
      </c>
      <c r="F1" s="12" t="inlineStr">
        <is>
          <t>Primary Months</t>
        </is>
      </c>
      <c r="G1" s="12" t="inlineStr">
        <is>
          <t>Secondary Months</t>
        </is>
      </c>
      <c r="H1" s="12" t="inlineStr">
        <is>
          <t>Timing Notes</t>
        </is>
      </c>
      <c r="I1" s="12" t="inlineStr">
        <is>
          <t>Gear Tactics</t>
        </is>
      </c>
      <c r="J1" s="12" t="inlineStr">
        <is>
          <t>Fly Tactics</t>
        </is>
      </c>
      <c r="K1" s="12" t="inlineStr">
        <is>
          <t>Conditions</t>
        </is>
      </c>
      <c r="L1" s="12" t="inlineStr">
        <is>
          <t>Key Areas</t>
        </is>
      </c>
      <c r="M1" s="12" t="inlineStr">
        <is>
          <t>Source Count</t>
        </is>
      </c>
    </row>
    <row r="2" ht="52" customHeight="1">
      <c r="A2" s="9" t="inlineStr">
        <is>
          <t>RV1</t>
        </is>
      </c>
      <c r="B2" s="9" t="inlineStr">
        <is>
          <t>River</t>
        </is>
      </c>
      <c r="C2" s="9" t="inlineStr">
        <is>
          <t>Vedder/Chilliwack</t>
        </is>
      </c>
      <c r="D2" s="9" t="inlineStr">
        <is>
          <t>Vedder / Chilliwack River</t>
        </is>
      </c>
      <c r="E2" s="9" t="inlineStr">
        <is>
          <t>Steelhead</t>
        </is>
      </c>
      <c r="F2" s="9" t="inlineStr">
        <is>
          <t>Jan-Mar</t>
        </is>
      </c>
      <c r="G2" s="9" t="inlineStr">
        <is>
          <t>Dec, Apr</t>
        </is>
      </c>
      <c r="H2" s="9" t="inlineStr">
        <is>
          <t>February was repeatedly called peak steelhead time, especially on the Vedder, but patterns start in winter and extend into early spring.</t>
        </is>
      </c>
      <c r="I2" s="9" t="inlineStr">
        <is>
          <t>Low clear water: downsize with small pink worms, beads, blades, shrimp, #2-4 hooks and 12-15 lb fluorocarbon; coloured water: big pink worms and flashier offerings stay relevant.</t>
        </is>
      </c>
      <c r="J2" s="9" t="inlineStr">
        <is>
          <t>Swing or present smaller, subtler flies in low clear water; larger/brighter flies remain useful when rain adds colour; cover deeper holding water thoroughly in low clear conditions.</t>
        </is>
      </c>
      <c r="K2" s="9" t="inlineStr">
        <is>
          <t>Low clear water is common and demands stealth; short rain events colour fishable water and cold snaps can clean up the river; cover water and adapt to visibility.</t>
        </is>
      </c>
      <c r="L2" s="9" t="inlineStr">
        <is>
          <t>Vedder/Chilliwack system from lower to upper holding water.</t>
        </is>
      </c>
      <c r="M2" s="9" t="n">
        <v>4</v>
      </c>
    </row>
    <row r="3" ht="52" customHeight="1">
      <c r="A3" s="9" t="inlineStr">
        <is>
          <t>RV2</t>
        </is>
      </c>
      <c r="B3" s="9" t="inlineStr">
        <is>
          <t>River</t>
        </is>
      </c>
      <c r="C3" s="9" t="inlineStr">
        <is>
          <t>Vedder/Chilliwack</t>
        </is>
      </c>
      <c r="D3" s="9" t="inlineStr">
        <is>
          <t>Vedder / Chilliwack River</t>
        </is>
      </c>
      <c r="E3" s="9" t="inlineStr">
        <is>
          <t>Summer chinook</t>
        </is>
      </c>
      <c r="F3" s="9" t="inlineStr">
        <is>
          <t>Jul</t>
        </is>
      </c>
      <c r="G3" s="9" t="inlineStr">
        <is>
          <t>Aug</t>
        </is>
      </c>
      <c r="H3" s="9" t="inlineStr">
        <is>
          <t>The summer chinook fishery was consistently described as short and front-loaded; by early August it is already tapering.</t>
        </is>
      </c>
      <c r="I3" s="9" t="inlineStr">
        <is>
          <t>Standard salmon gear; small water-level bumps can move fish and improve catch rates, but the window is brief.</t>
        </is>
      </c>
      <c r="J3" s="9" t="inlineStr">
        <is>
          <t>Covered in the report ecosystem as a valid walk-and-wade salmon fly fishery using sink tips and selected flies, but the reports emphasized general salmon-fly instruction more than weekly specific patterns here.</t>
        </is>
      </c>
      <c r="K3" s="9" t="inlineStr">
        <is>
          <t>Very small rain bumps can move fish in otherwise low summer water; scout low-water structure for coming fall season.</t>
        </is>
      </c>
      <c r="L3" s="9" t="inlineStr">
        <is>
          <t>Main stem C/V lower and mid river.</t>
        </is>
      </c>
      <c r="M3" s="9" t="n">
        <v>4</v>
      </c>
    </row>
    <row r="4" ht="52" customHeight="1">
      <c r="A4" s="9" t="inlineStr">
        <is>
          <t>RV3</t>
        </is>
      </c>
      <c r="B4" s="9" t="inlineStr">
        <is>
          <t>River</t>
        </is>
      </c>
      <c r="C4" s="9" t="inlineStr">
        <is>
          <t>Vedder/Chilliwack</t>
        </is>
      </c>
      <c r="D4" s="9" t="inlineStr">
        <is>
          <t>Vedder / Chilliwack River</t>
        </is>
      </c>
      <c r="E4" s="9" t="inlineStr">
        <is>
          <t>Fall chinook and coho</t>
        </is>
      </c>
      <c r="F4" s="9" t="inlineStr">
        <is>
          <t>Sep-Oct</t>
        </is>
      </c>
      <c r="G4" s="9" t="inlineStr">
        <is>
          <t>Aug, Nov</t>
        </is>
      </c>
      <c r="H4" s="9" t="inlineStr">
        <is>
          <t>Mid/late September into October was the recurring prime window, with chinook arriving first in force and coho building toward month end.</t>
        </is>
      </c>
      <c r="I4" s="9" t="inlineStr">
        <is>
          <t>Bait, beads, blades, yarn, jigs, spinners, spoons; in low clear water, smaller and subtler presentations shine; first/last light often best.</t>
        </is>
      </c>
      <c r="J4" s="9" t="inlineStr">
        <is>
          <t>Swinging salmon flies on sink tips/full sink lines is repeatedly taught and referenced as a core approach.</t>
        </is>
      </c>
      <c r="K4" s="9" t="inlineStr">
        <is>
          <t>Low water can compress fish into predictable holding water; rain is typically needed for broader movement and easier fishing.</t>
        </is>
      </c>
      <c r="L4" s="9" t="inlineStr">
        <is>
          <t>Lower river for concentrations in low water; deeper/faster holding water for chinook, shallower edges/tailouts for coho.</t>
        </is>
      </c>
      <c r="M4" s="9" t="n">
        <v>3</v>
      </c>
    </row>
    <row r="5" ht="52" customHeight="1">
      <c r="A5" s="9" t="inlineStr">
        <is>
          <t>RV4</t>
        </is>
      </c>
      <c r="B5" s="9" t="inlineStr">
        <is>
          <t>River</t>
        </is>
      </c>
      <c r="C5" s="9" t="inlineStr">
        <is>
          <t>Vedder/Chilliwack</t>
        </is>
      </c>
      <c r="D5" s="9" t="inlineStr">
        <is>
          <t>Vedder / Chilliwack River</t>
        </is>
      </c>
      <c r="E5" s="9" t="inlineStr">
        <is>
          <t>Chum salmon</t>
        </is>
      </c>
      <c r="F5" s="9" t="inlineStr">
        <is>
          <t>Oct-Nov</t>
        </is>
      </c>
      <c r="G5" s="9" t="inlineStr">
        <is>
          <t>Sep, Dec</t>
        </is>
      </c>
      <c r="H5" s="9" t="inlineStr">
        <is>
          <t>Chum fishing usually builds after chinook/coho, with lower-river opportunities beginning by late September and stronger October action.</t>
        </is>
      </c>
      <c r="I5" s="9" t="inlineStr">
        <is>
          <t>Jigs are a recurrent recommendation; chum bite readily and can be an approachable introduction fishery.</t>
        </is>
      </c>
      <c r="J5" s="9" t="inlineStr">
        <is>
          <t>Bright swinging flies and general salmon flies are repeatedly called effective; chum are described as especially receptive to flies.</t>
        </is>
      </c>
      <c r="K5" s="9" t="inlineStr">
        <is>
          <t>Fish can bite through the day; watch regulations and avoid poor handling/snagging practices around heavily pressured salmon water.</t>
        </is>
      </c>
      <c r="L5" s="9" t="inlineStr">
        <is>
          <t>Lower to mid C/V; late-season fish concentrate where water and access align.</t>
        </is>
      </c>
      <c r="M5" s="9" t="n">
        <v>3</v>
      </c>
    </row>
    <row r="6" ht="52" customHeight="1">
      <c r="A6" s="9" t="inlineStr">
        <is>
          <t>RV5</t>
        </is>
      </c>
      <c r="B6" s="9" t="inlineStr">
        <is>
          <t>River</t>
        </is>
      </c>
      <c r="C6" s="9" t="inlineStr">
        <is>
          <t>Squamish / Sea-to-Sky</t>
        </is>
      </c>
      <c r="D6" s="9" t="inlineStr">
        <is>
          <t>Squamish main stem and tributaries / Sea-to-Sky corridor</t>
        </is>
      </c>
      <c r="E6" s="9" t="inlineStr">
        <is>
          <t>Bull trout, rainbows, cutthroat (spring fry fishery)</t>
        </is>
      </c>
      <c r="F6" s="9" t="inlineStr">
        <is>
          <t>Mar-May</t>
        </is>
      </c>
      <c r="G6" s="9" t="inlineStr">
        <is>
          <t>Feb, Jun</t>
        </is>
      </c>
      <c r="H6" s="9" t="inlineStr">
        <is>
          <t>Spring warming and fry emergence drive one of the most repeated trout patterns in the archive.</t>
        </is>
      </c>
      <c r="I6" s="9" t="inlineStr">
        <is>
          <t>Crocs, rooster tails, Blue Fox spinners, spoons and blades; in low clear conditions go smaller; in glacial or coloured water use louder/profiled offerings.</t>
        </is>
      </c>
      <c r="J6" s="9" t="inlineStr">
        <is>
          <t>Fry patterns, sculpins, streamers, rabbit strip patterns, jig streamers, small alevin under indicators, light sink tips or long fluorocarbon leaders to cast/strip/swing; more flash once fry are present and water warms.</t>
        </is>
      </c>
      <c r="K6" s="9" t="inlineStr">
        <is>
          <t>Find fry, birds, slower water and bank structure; budding pussy willows and active bird life were explicitly cited as natural indicators; glacial colour can quickly end the spring window.</t>
        </is>
      </c>
      <c r="L6" s="9" t="inlineStr">
        <is>
          <t>Upper/middle Squamish, tributaries and softer side water / slower runs.</t>
        </is>
      </c>
      <c r="M6" s="9" t="n">
        <v>5</v>
      </c>
    </row>
    <row r="7" ht="52" customHeight="1">
      <c r="A7" s="9" t="inlineStr">
        <is>
          <t>RV6</t>
        </is>
      </c>
      <c r="B7" s="9" t="inlineStr">
        <is>
          <t>River</t>
        </is>
      </c>
      <c r="C7" s="9" t="inlineStr">
        <is>
          <t>Squamish / Sea-to-Sky</t>
        </is>
      </c>
      <c r="D7" s="9" t="inlineStr">
        <is>
          <t>Squamish main stem and tributaries / Sea-to-Sky corridor</t>
        </is>
      </c>
      <c r="E7" s="9" t="inlineStr">
        <is>
          <t>Coho and pink salmon (plus mixed char/trout)</t>
        </is>
      </c>
      <c r="F7" s="9" t="inlineStr">
        <is>
          <t>Sep-Oct</t>
        </is>
      </c>
      <c r="G7" s="9" t="inlineStr">
        <is>
          <t>Aug, Nov</t>
        </is>
      </c>
      <c r="H7" s="9" t="inlineStr">
        <is>
          <t>The recurring pattern was a tough milky early period followed by improving coho/trout/char action once temperatures dropped and the system cleared.</t>
        </is>
      </c>
      <c r="I7" s="9" t="inlineStr">
        <is>
          <t>Large spoons, spinners, twitching jigs in dirty water; beads, blades and unscented worms also showed up for char/trout/coho.</t>
        </is>
      </c>
      <c r="J7" s="9" t="inlineStr">
        <is>
          <t>Large flashy 'twitch flies' / heavy streamers in dirty water; swing/strip presentations with movement.</t>
        </is>
      </c>
      <c r="K7" s="9" t="inlineStr">
        <is>
          <t>Main stem colour and temperature control everything; first week of October is often the shift point, but warm years can delay it.</t>
        </is>
      </c>
      <c r="L7" s="9" t="inlineStr">
        <is>
          <t>Main stem scouting water plus tributaries and clearer side water.</t>
        </is>
      </c>
      <c r="M7" s="9" t="n">
        <v>3</v>
      </c>
    </row>
    <row r="8" ht="52" customHeight="1">
      <c r="A8" s="9" t="inlineStr">
        <is>
          <t>RV7</t>
        </is>
      </c>
      <c r="B8" s="9" t="inlineStr">
        <is>
          <t>River</t>
        </is>
      </c>
      <c r="C8" s="9" t="inlineStr">
        <is>
          <t>Squamish / Sea-to-Sky</t>
        </is>
      </c>
      <c r="D8" s="9" t="inlineStr">
        <is>
          <t>Sea-to-Sky corridor</t>
        </is>
      </c>
      <c r="E8" s="9" t="inlineStr">
        <is>
          <t>Bull trout / egg-eaters (late fall to winter)</t>
        </is>
      </c>
      <c r="F8" s="9" t="inlineStr">
        <is>
          <t>Nov-Dec</t>
        </is>
      </c>
      <c r="G8" s="9" t="inlineStr">
        <is>
          <t>Jan</t>
        </is>
      </c>
      <c r="H8" s="9" t="inlineStr">
        <is>
          <t>Once salmon spawn out, the reports repeatedly shifted to egg-based trout/char opportunities.</t>
        </is>
      </c>
      <c r="I8" s="9" t="inlineStr">
        <is>
          <t>Eggs, beads, and careful leader/rigging details around egg-eater presentations.</t>
        </is>
      </c>
      <c r="J8" s="9" t="inlineStr">
        <is>
          <t>Egg patterns and trout/char flies around salmon spawn zones.</t>
        </is>
      </c>
      <c r="K8" s="9" t="inlineStr">
        <is>
          <t>Look for slower water with cover and spawned-out salmon nearby; rain can improve conditions.</t>
        </is>
      </c>
      <c r="L8" s="9" t="inlineStr">
        <is>
          <t>Sea-to-Sky main stems and tributaries.</t>
        </is>
      </c>
      <c r="M8" s="9" t="n">
        <v>3</v>
      </c>
    </row>
    <row r="9" ht="52" customHeight="1">
      <c r="A9" s="9" t="inlineStr">
        <is>
          <t>RV8</t>
        </is>
      </c>
      <c r="B9" s="9" t="inlineStr">
        <is>
          <t>River</t>
        </is>
      </c>
      <c r="C9" s="9" t="inlineStr">
        <is>
          <t>Harrison / North-side systems</t>
        </is>
      </c>
      <c r="D9" s="9" t="inlineStr">
        <is>
          <t>Harrison River, sloughs, tributaries, north-side Fraser systems</t>
        </is>
      </c>
      <c r="E9" s="9" t="inlineStr">
        <is>
          <t>Coho and chum salmon</t>
        </is>
      </c>
      <c r="F9" s="9" t="inlineStr">
        <is>
          <t>Oct-Nov</t>
        </is>
      </c>
      <c r="G9" s="9" t="inlineStr">
        <is>
          <t>Sep, Dec</t>
        </is>
      </c>
      <c r="H9" s="9" t="inlineStr">
        <is>
          <t>A classic later-season fishery in the reports, frequently described as turning on as south-side systems slowed.</t>
        </is>
      </c>
      <c r="I9" s="9" t="inlineStr">
        <is>
          <t>Spinners, spoons, weighted casting options, twitching jigs, larger-profile lures in higher/dirty water.</t>
        </is>
      </c>
      <c r="J9" s="9" t="inlineStr">
        <is>
          <t>Large-profile swing or strip flies; flashy offerings in side channels and frog water; in dirty water go larger and louder.</t>
        </is>
      </c>
      <c r="K9" s="9" t="inlineStr">
        <is>
          <t>Tides influence staging fish early; higher/dirty water calls for larger offerings; side channels and back channels are especially important.</t>
        </is>
      </c>
      <c r="L9" s="9" t="inlineStr">
        <is>
          <t>Harrison main stem, side channels, tributaries, confluence zones, sloughs.</t>
        </is>
      </c>
      <c r="M9" s="9" t="n">
        <v>4</v>
      </c>
    </row>
    <row r="10" ht="52" customHeight="1">
      <c r="A10" s="9" t="inlineStr">
        <is>
          <t>RV9</t>
        </is>
      </c>
      <c r="B10" s="9" t="inlineStr">
        <is>
          <t>River</t>
        </is>
      </c>
      <c r="C10" s="9" t="inlineStr">
        <is>
          <t>Harrison / North-side systems</t>
        </is>
      </c>
      <c r="D10" s="9" t="inlineStr">
        <is>
          <t>Harrison / lower Fraser confluence area</t>
        </is>
      </c>
      <c r="E10" s="9" t="inlineStr">
        <is>
          <t>Early staging salmon / boat intercept fishery</t>
        </is>
      </c>
      <c r="F10" s="9" t="inlineStr">
        <is>
          <t>Sep</t>
        </is>
      </c>
      <c r="G10" s="9" t="inlineStr">
        <is>
          <t>Oct</t>
        </is>
      </c>
      <c r="H10" s="9" t="inlineStr">
        <is>
          <t>Before the main Harrison bite, the reports often advised watching tides and intercepting staging fish around the confluence.</t>
        </is>
      </c>
      <c r="I10" s="9" t="inlineStr">
        <is>
          <t>Boat-based anchoring or intercept tactics around staging lanes.</t>
        </is>
      </c>
      <c r="J10" s="9" t="inlineStr">
        <is>
          <t>Not a primary theme in this specific pattern.</t>
        </is>
      </c>
      <c r="K10" s="9" t="inlineStr">
        <is>
          <t>Tides and rising water that allow fish to push farther upstream.</t>
        </is>
      </c>
      <c r="L10" s="9" t="inlineStr">
        <is>
          <t>Harrison Knob / lower confluence water.</t>
        </is>
      </c>
      <c r="M10" s="9" t="n">
        <v>1</v>
      </c>
    </row>
    <row r="11" ht="52" customHeight="1">
      <c r="A11" s="9" t="inlineStr">
        <is>
          <t>RV10</t>
        </is>
      </c>
      <c r="B11" s="9" t="inlineStr">
        <is>
          <t>River</t>
        </is>
      </c>
      <c r="C11" s="9" t="inlineStr">
        <is>
          <t>Capilano</t>
        </is>
      </c>
      <c r="D11" s="9" t="inlineStr">
        <is>
          <t>Capilano River and mouth</t>
        </is>
      </c>
      <c r="E11" s="9" t="inlineStr">
        <is>
          <t>Coho and chinook salmon (river / mouth)</t>
        </is>
      </c>
      <c r="F11" s="9" t="inlineStr">
        <is>
          <t>Jun-Aug</t>
        </is>
      </c>
      <c r="G11" s="9" t="inlineStr">
        <is>
          <t>Sep-Oct</t>
        </is>
      </c>
      <c r="H11" s="9" t="inlineStr">
        <is>
          <t>The fishery is highly timing-driven: low light and tide changes on the beach, and surprise river bumps for fresh fish in-river.</t>
        </is>
      </c>
      <c r="I11" s="9" t="inlineStr">
        <is>
          <t>Beach: spinners, spoons, hoochie/spinner combos, buzz bombs. River: smaller spinner, spoon and bead presentations after bumps.</t>
        </is>
      </c>
      <c r="J11" s="9" t="inlineStr">
        <is>
          <t>Smaller coho patterns and general salmon flies; fly opportunities improve when bumps add colour and fish push through.</t>
        </is>
      </c>
      <c r="K11" s="9" t="inlineStr">
        <is>
          <t>Morning tide changes, first light, low water, and small rainfall bumps that freshen fish and add colour to otherwise clear pools.</t>
        </is>
      </c>
      <c r="L11" s="9" t="inlineStr">
        <is>
          <t>Cap mouth, lower beach, weir-adjacent river access / moving fish lanes.</t>
        </is>
      </c>
      <c r="M11" s="9" t="n">
        <v>5</v>
      </c>
    </row>
    <row r="12" ht="52" customHeight="1">
      <c r="A12" s="9" t="inlineStr">
        <is>
          <t>RV11</t>
        </is>
      </c>
      <c r="B12" s="9" t="inlineStr">
        <is>
          <t>River</t>
        </is>
      </c>
      <c r="C12" s="9" t="inlineStr">
        <is>
          <t>Stave</t>
        </is>
      </c>
      <c r="D12" s="9" t="inlineStr">
        <is>
          <t>Stave River</t>
        </is>
      </c>
      <c r="E12" s="9" t="inlineStr">
        <is>
          <t>Winter steelhead (backup / stable-flow option) plus cutthroat/whitefish</t>
        </is>
      </c>
      <c r="F12" s="9" t="inlineStr">
        <is>
          <t>Jan-Feb</t>
        </is>
      </c>
      <c r="G12" s="9" t="inlineStr">
        <is>
          <t>Mar</t>
        </is>
      </c>
      <c r="H12" s="9" t="inlineStr">
        <is>
          <t>Not a high-volume steelhead river in the archive, but repeatedly mentioned as an option when weather makes other rivers unfishable.</t>
        </is>
      </c>
      <c r="I12" s="9" t="inlineStr">
        <is>
          <t>Conventional winter steelhead tactics; focus slower seams/back channels for resident species when anadromous fish are absent.</t>
        </is>
      </c>
      <c r="J12" s="9" t="inlineStr">
        <is>
          <t>Standard steelhead and trout approaches depending on target.</t>
        </is>
      </c>
      <c r="K12" s="9" t="inlineStr">
        <is>
          <t>Dam-influenced stability can preserve fishability when other rivers blow out.</t>
        </is>
      </c>
      <c r="L12" s="9" t="inlineStr">
        <is>
          <t>Slower seams, back channels, stable-flow reaches.</t>
        </is>
      </c>
      <c r="M12" s="9" t="n">
        <v>2</v>
      </c>
    </row>
    <row r="13" ht="52" customHeight="1">
      <c r="A13" s="9" t="inlineStr">
        <is>
          <t>RV12</t>
        </is>
      </c>
      <c r="B13" s="9" t="inlineStr">
        <is>
          <t>River</t>
        </is>
      </c>
      <c r="C13" s="9" t="inlineStr">
        <is>
          <t>Lower Fraser</t>
        </is>
      </c>
      <c r="D13" s="9" t="inlineStr">
        <is>
          <t>Lower Fraser River</t>
        </is>
      </c>
      <c r="E13" s="9" t="inlineStr">
        <is>
          <t>White sturgeon</t>
        </is>
      </c>
      <c r="F13" s="9" t="inlineStr">
        <is>
          <t>Aug-Sep</t>
        </is>
      </c>
      <c r="G13" s="9" t="inlineStr">
        <is>
          <t>Jun-Jul, Oct</t>
        </is>
      </c>
      <c r="H13" s="9" t="inlineStr">
        <is>
          <t>Warm-water late summer was the strongest bite pattern; June high water still produced but with fewer, often larger, bites.</t>
        </is>
      </c>
      <c r="I13" s="9" t="inlineStr">
        <is>
          <t>Boat or shore bait fishing; spring/summer bait staples include pikeminnow, roe and lamprey; shore anglers were specifically advised to focus two hours before and after high slack tide and use lighter weights when possible.</t>
        </is>
      </c>
      <c r="J13" s="9" t="inlineStr">
        <is>
          <t>Not a recurring fly fishery.</t>
        </is>
      </c>
      <c r="K13" s="9" t="inlineStr">
        <is>
          <t>Warm water boosts metabolism and bite frequency; in high water expect fewer but quality fish; avoid scent contamination, watch debris, and plan around slack tides.</t>
        </is>
      </c>
      <c r="L13" s="9" t="inlineStr">
        <is>
          <t>Lower Fraser main stem from shore and jet-boat drifts.</t>
        </is>
      </c>
      <c r="M13" s="9" t="n">
        <v>4</v>
      </c>
    </row>
    <row r="14" ht="52" customHeight="1">
      <c r="A14" s="9" t="inlineStr">
        <is>
          <t>RV13</t>
        </is>
      </c>
      <c r="B14" s="9" t="inlineStr">
        <is>
          <t>River</t>
        </is>
      </c>
      <c r="C14" s="9" t="inlineStr">
        <is>
          <t>Trout streams / general small streams</t>
        </is>
      </c>
      <c r="D14" s="9" t="inlineStr">
        <is>
          <t>Skagit / Thompson / small streams / estuary-linked creeks</t>
        </is>
      </c>
      <c r="E14" s="9" t="inlineStr">
        <is>
          <t>Rainbow, cutthroat and bull trout in trout streams</t>
        </is>
      </c>
      <c r="F14" s="9" t="inlineStr">
        <is>
          <t>May-Aug</t>
        </is>
      </c>
      <c r="G14" s="9" t="inlineStr">
        <is>
          <t>Sep-Oct, Mar-Apr</t>
        </is>
      </c>
      <c r="H14" s="9" t="inlineStr">
        <is>
          <t>The archive repeatedly framed trout-stream fishing as a shoulder-season and summer option, with additional spring fry windows and fall cutthroat opportunities.</t>
        </is>
      </c>
      <c r="I14" s="9" t="inlineStr">
        <is>
          <t>Ultralight spinning rods with Crocs, rooster tails, Blue Fox spinners and small spoons; natural vs attractor selection based on water clarity and fish mood.</t>
        </is>
      </c>
      <c r="J14" s="9" t="inlineStr">
        <is>
          <t>Dry-dropper, nymphing and streamer fishing in summer; poppers/gurglers and fry/sculpin/minnow patterns in spring; keep presentations light and mobile.</t>
        </is>
      </c>
      <c r="K14" s="9" t="inlineStr">
        <is>
          <t>Hatches, stream temperature, and visibility drive daily success; moving, covering water, and matching either natural or attractor profile is recurring advice.</t>
        </is>
      </c>
      <c r="L14" s="9" t="inlineStr">
        <is>
          <t>Small Lower Mainland and Interior trout streams, Skagit, Thompson where accessible and safe.</t>
        </is>
      </c>
      <c r="M14" s="9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0" customWidth="1" min="4" max="4"/>
    <col width="24" customWidth="1" min="5" max="5"/>
    <col width="14" customWidth="1" min="6" max="6"/>
    <col width="16" customWidth="1" min="7" max="7"/>
    <col width="28" customWidth="1" min="8" max="8"/>
    <col width="36" customWidth="1" min="9" max="9"/>
    <col width="32" customWidth="1" min="10" max="10"/>
    <col width="30" customWidth="1" min="11" max="11"/>
    <col width="24" customWidth="1" min="12" max="12"/>
    <col width="12" customWidth="1" min="13" max="13"/>
  </cols>
  <sheetData>
    <row r="1">
      <c r="A1" s="20" t="inlineStr">
        <is>
          <t>Key Areas (Commonly Cited Lakes)</t>
        </is>
      </c>
      <c r="B1" s="20" t="inlineStr">
        <is>
          <t>Broad Category</t>
        </is>
      </c>
      <c r="C1" s="20" t="inlineStr">
        <is>
          <t>Sub Category</t>
        </is>
      </c>
      <c r="D1" s="20" t="inlineStr">
        <is>
          <t>System / Area</t>
        </is>
      </c>
      <c r="E1" s="20" t="inlineStr">
        <is>
          <t>Species</t>
        </is>
      </c>
      <c r="F1" s="20" t="inlineStr">
        <is>
          <t>Primary Months</t>
        </is>
      </c>
      <c r="G1" s="20" t="inlineStr">
        <is>
          <t>Secondary Months</t>
        </is>
      </c>
      <c r="H1" s="20" t="inlineStr">
        <is>
          <t>Timing Notes</t>
        </is>
      </c>
      <c r="I1" s="20" t="inlineStr">
        <is>
          <t>Gear Tactics</t>
        </is>
      </c>
      <c r="J1" s="20" t="inlineStr">
        <is>
          <t>Fly Tactics</t>
        </is>
      </c>
      <c r="K1" s="20" t="inlineStr">
        <is>
          <t>Conditions</t>
        </is>
      </c>
      <c r="L1" s="20" t="inlineStr">
        <is>
          <t>Key Areas</t>
        </is>
      </c>
      <c r="M1" s="20" t="inlineStr">
        <is>
          <t>Source Count</t>
        </is>
      </c>
    </row>
    <row r="2" ht="52" customHeight="1">
      <c r="A2" s="9" t="inlineStr">
        <is>
          <t>Rice Lake, Como Lake, Lafarge Lake, Sasamat Lake, Buntzen Lake, Alouette Lake, Cultus Lake, Harrison Lake, Weaver Lake, Rolley Lake, Tunkwa Lake, Roche Lake, Logan Lake, Pass Lake</t>
        </is>
      </c>
      <c r="B2" s="9" t="inlineStr">
        <is>
          <t>Lake</t>
        </is>
      </c>
      <c r="C2" s="9" t="inlineStr">
        <is>
          <t>Interior lakes</t>
        </is>
      </c>
      <c r="D2" s="9" t="inlineStr">
        <is>
          <t>BC Interior lakes (lower elevation first, then higher elevation lakes)</t>
        </is>
      </c>
      <c r="E2" s="9" t="inlineStr">
        <is>
          <t>Rainbow trout (ice-off / chironomid phase)</t>
        </is>
      </c>
      <c r="F2" s="9" t="inlineStr">
        <is>
          <t>Apr-May</t>
        </is>
      </c>
      <c r="G2" s="9" t="inlineStr">
        <is>
          <t>Late Mar, early Jun</t>
        </is>
      </c>
      <c r="H2" s="9" t="inlineStr">
        <is>
          <t>This was the single strongest stillwater pattern in the archive: lower elevation lakes fire first, then progressively higher lakes.</t>
        </is>
      </c>
      <c r="I2" s="9" t="inlineStr">
        <is>
          <t>Stillwater trout gear was secondary in the reports; fly-focused chironomid systems dominated the recommendations.</t>
        </is>
      </c>
      <c r="J2" s="9" t="inlineStr">
        <is>
          <t>Chironomids under indicators remain the backbone; dark/bright flies and beads vary by lake; boat positioning and electronics were repeatedly emphasized.</t>
        </is>
      </c>
      <c r="K2" s="9" t="inlineStr">
        <is>
          <t>Track ice-off by elevation; lower-elevation lakes may be 3-4 weeks post-ice-off while higher lakes are just turning on in early May.</t>
        </is>
      </c>
      <c r="L2" s="9" t="inlineStr">
        <is>
          <t>Kamloops / Region 3 / Region 5 / Cariboo-style trout lakes.</t>
        </is>
      </c>
      <c r="M2" s="9" t="n">
        <v>3</v>
      </c>
    </row>
    <row r="3" ht="52" customHeight="1">
      <c r="A3" s="9" t="inlineStr">
        <is>
          <t>LK2</t>
        </is>
      </c>
      <c r="B3" s="9" t="inlineStr">
        <is>
          <t>Lake</t>
        </is>
      </c>
      <c r="C3" s="9" t="inlineStr">
        <is>
          <t>Interior lakes</t>
        </is>
      </c>
      <c r="D3" s="9" t="inlineStr">
        <is>
          <t>BC Interior lakes</t>
        </is>
      </c>
      <c r="E3" s="9" t="inlineStr">
        <is>
          <t>Rainbow trout (late spring / early summer hatch mix)</t>
        </is>
      </c>
      <c r="F3" s="9" t="inlineStr">
        <is>
          <t>Jun</t>
        </is>
      </c>
      <c r="G3" s="9" t="inlineStr">
        <is>
          <t>Late May, Jul</t>
        </is>
      </c>
      <c r="H3" s="9" t="inlineStr">
        <is>
          <t>By mid-June, many lakes transition from pure chironomid focus to more varied stillwater feeding.</t>
        </is>
      </c>
      <c r="I3" s="9" t="inlineStr">
        <is>
          <t>Trolling/deeper methods become more important in warmer periods; reports referenced sinking lines, deeper retrieves and adapting to lake depth/elevation.</t>
        </is>
      </c>
      <c r="J3" s="9" t="inlineStr">
        <is>
          <t>Leeches, dragons, mayflies, damsels and caddis join or replace chironomids; stripping boobies or leeches becomes a change-up tactic.</t>
        </is>
      </c>
      <c r="K3" s="9" t="inlineStr">
        <is>
          <t>Heat waves can push fish deeper and compress productive windows; keep a detailed journal because lake personalities diverge rapidly.</t>
        </is>
      </c>
      <c r="L3" s="9" t="inlineStr">
        <is>
          <t>Interior lakes across a range of elevations.</t>
        </is>
      </c>
      <c r="M3" s="9" t="n">
        <v>2</v>
      </c>
    </row>
    <row r="4" ht="52" customHeight="1">
      <c r="A4" s="9" t="inlineStr">
        <is>
          <t>LK3</t>
        </is>
      </c>
      <c r="B4" s="9" t="inlineStr">
        <is>
          <t>Lake</t>
        </is>
      </c>
      <c r="C4" s="9" t="inlineStr">
        <is>
          <t>Interior lakes</t>
        </is>
      </c>
      <c r="D4" s="9" t="inlineStr">
        <is>
          <t>BC Interior lakes</t>
        </is>
      </c>
      <c r="E4" s="9" t="inlineStr">
        <is>
          <t>Rainbow trout (late summer / fall)</t>
        </is>
      </c>
      <c r="F4" s="9" t="inlineStr">
        <is>
          <t>Sep-Oct</t>
        </is>
      </c>
      <c r="G4" s="9" t="inlineStr">
        <is>
          <t>Aug, Nov</t>
        </is>
      </c>
      <c r="H4" s="9" t="inlineStr">
        <is>
          <t>Fall can be excellent but highly lake-specific; heat delays turnover, then balanced leeches / chironomids / bloodworms / shrimp / leeches re-emerge as key food forms.</t>
        </is>
      </c>
      <c r="I4" s="9" t="inlineStr">
        <is>
          <t>Deeper presentations and mobility matter during warm periods.</t>
        </is>
      </c>
      <c r="J4" s="9" t="inlineStr">
        <is>
          <t>Balanced leeches in deep water, chironomids where hatches persist, and bloodworm/shrimp/leech patterns during warm-to-cooling transition.</t>
        </is>
      </c>
      <c r="K4" s="9" t="inlineStr">
        <is>
          <t>Target higher elevation lakes first in warm falls; once water cools, shallow and hatch-oriented opportunities improve by lake.</t>
        </is>
      </c>
      <c r="L4" s="9" t="inlineStr">
        <is>
          <t>Kamloops / Merritt / Cariboo / Horsefly-strain trout lakes.</t>
        </is>
      </c>
      <c r="M4" s="9" t="n">
        <v>3</v>
      </c>
    </row>
    <row r="5" ht="52" customHeight="1">
      <c r="A5" s="9" t="inlineStr">
        <is>
          <t>LK4</t>
        </is>
      </c>
      <c r="B5" s="9" t="inlineStr">
        <is>
          <t>Lake</t>
        </is>
      </c>
      <c r="C5" s="9" t="inlineStr">
        <is>
          <t>Local stocked lakes</t>
        </is>
      </c>
      <c r="D5" s="9" t="inlineStr">
        <is>
          <t>Lower Mainland stocked lakes</t>
        </is>
      </c>
      <c r="E5" s="9" t="inlineStr">
        <is>
          <t>Stocked rainbow trout</t>
        </is>
      </c>
      <c r="F5" s="9" t="inlineStr">
        <is>
          <t>Feb-Mar</t>
        </is>
      </c>
      <c r="G5" s="9" t="inlineStr">
        <is>
          <t>Apr, Oct-Nov</t>
        </is>
      </c>
      <c r="H5" s="9" t="inlineStr">
        <is>
          <t>Local stocked lakes appear in the archive as accessible early-season or casual option when other fisheries are slow or for new anglers.</t>
        </is>
      </c>
      <c r="I5" s="9" t="inlineStr">
        <is>
          <t>6'6"-8'0" UL-ML rods; 10 lb braid or 6-10 lb mono; lure fishing, bait under a bobber, or suspending bait off bottom.</t>
        </is>
      </c>
      <c r="J5" s="9" t="inlineStr">
        <is>
          <t>4-5 wt with floating line and sink tips; strip woolly buggers or suspend balanced leeches / chrome chironomids under an indicator.</t>
        </is>
      </c>
      <c r="K5" s="9" t="inlineStr">
        <is>
          <t>Stocking timing and weather matter more than hatch complexity.</t>
        </is>
      </c>
      <c r="L5" s="9" t="inlineStr">
        <is>
          <t>Lower Mainland stocked urban/suburban lakes.</t>
        </is>
      </c>
      <c r="M5" s="9" t="n">
        <v>1</v>
      </c>
    </row>
    <row r="6" ht="52" customHeight="1">
      <c r="A6" s="9" t="inlineStr">
        <is>
          <t>LK5</t>
        </is>
      </c>
      <c r="B6" s="9" t="inlineStr">
        <is>
          <t>Lake</t>
        </is>
      </c>
      <c r="C6" s="9" t="inlineStr">
        <is>
          <t>Warmwater / alternative stillwater</t>
        </is>
      </c>
      <c r="D6" s="9" t="inlineStr">
        <is>
          <t>Local warmwater lakes / carp water</t>
        </is>
      </c>
      <c r="E6" s="9" t="inlineStr">
        <is>
          <t>Carp</t>
        </is>
      </c>
      <c r="F6" s="9" t="inlineStr">
        <is>
          <t>Jul-Aug</t>
        </is>
      </c>
      <c r="G6" s="9" t="inlineStr">
        <is>
          <t>Jun, Sep</t>
        </is>
      </c>
      <c r="H6" s="9" t="inlineStr">
        <is>
          <t>The reports positioned carp as a warm-weather alternative when classic trout-lake fishing slows down.</t>
        </is>
      </c>
      <c r="I6" s="9" t="inlineStr">
        <is>
          <t>Alternative-species stillwater tactics rather than trout tactics; target when warm water makes trout difficult.</t>
        </is>
      </c>
      <c r="J6" s="9" t="inlineStr">
        <is>
          <t>Warmwater fly approaches may apply, but the retrieved evidence emphasized carp primarily as a strategic alternative rather than detailing weekly patterns.</t>
        </is>
      </c>
      <c r="K6" s="9" t="inlineStr">
        <is>
          <t>Best when classic trout lakes are warm and slow.</t>
        </is>
      </c>
      <c r="L6" s="9" t="inlineStr">
        <is>
          <t>Local lakes that hold carp.</t>
        </is>
      </c>
      <c r="M6" s="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2026-03-21T13:47:48Z</dcterms:created>
  <dcterms:modified xmlns:dcterms="http://purl.org/dc/terms/" xmlns:xsi="http://www.w3.org/2001/XMLSchema-instance" xsi:type="dcterms:W3CDTF">2026-03-21T13:47:48Z</dcterms:modified>
</cp:coreProperties>
</file>